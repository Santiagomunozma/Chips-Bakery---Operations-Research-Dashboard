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tive\Downloads\"/>
    </mc:Choice>
  </mc:AlternateContent>
  <xr:revisionPtr revIDLastSave="0" documentId="13_ncr:1_{85D60E6D-649F-4A3F-81B2-1E1E2AB36BED}" xr6:coauthVersionLast="47" xr6:coauthVersionMax="47" xr10:uidLastSave="{00000000-0000-0000-0000-000000000000}"/>
  <bookViews>
    <workbookView xWindow="-108" yWindow="-108" windowWidth="23256" windowHeight="13896" xr2:uid="{1B26E96A-6470-4205-BC7E-FF59F4D845D4}"/>
  </bookViews>
  <sheets>
    <sheet name="Hoja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9" i="1" l="1"/>
  <c r="G30" i="1"/>
  <c r="C84" i="1"/>
  <c r="C82" i="1"/>
  <c r="C81" i="1" s="1"/>
  <c r="C150" i="1"/>
  <c r="D98" i="1"/>
  <c r="H67" i="1"/>
  <c r="F175" i="1"/>
  <c r="F171" i="1"/>
  <c r="G28" i="1"/>
  <c r="F66" i="1" s="1"/>
  <c r="H30" i="1"/>
  <c r="F76" i="1" s="1"/>
  <c r="H29" i="1"/>
  <c r="F173" i="1" s="1"/>
  <c r="H28" i="1"/>
  <c r="F181" i="1" s="1"/>
  <c r="C35" i="1"/>
  <c r="D137" i="1"/>
  <c r="C144" i="1" s="1"/>
  <c r="F134" i="1"/>
  <c r="C134" i="1"/>
  <c r="F177" i="1" l="1"/>
  <c r="F189" i="1"/>
  <c r="F72" i="1"/>
  <c r="F185" i="1"/>
  <c r="F161" i="1"/>
  <c r="F165" i="1"/>
  <c r="F68" i="1"/>
  <c r="F157" i="1"/>
  <c r="C118" i="1"/>
  <c r="F169" i="1"/>
  <c r="F183" i="1"/>
  <c r="F70" i="1"/>
  <c r="F187" i="1"/>
  <c r="F74" i="1"/>
  <c r="F159" i="1"/>
  <c r="F163" i="1"/>
  <c r="H104" i="1"/>
  <c r="F179" i="1"/>
  <c r="H100" i="1"/>
  <c r="B118" i="1"/>
  <c r="C120" i="1" s="1"/>
  <c r="F167" i="1"/>
  <c r="F155" i="1"/>
  <c r="H96" i="1"/>
  <c r="H172" i="1"/>
  <c r="D139" i="1"/>
  <c r="C148" i="1" s="1"/>
  <c r="H176" i="1"/>
  <c r="C146" i="1"/>
  <c r="H184" i="1" l="1"/>
  <c r="H168" i="1"/>
  <c r="L169" i="1" s="1"/>
  <c r="M169" i="1" s="1"/>
  <c r="H180" i="1"/>
  <c r="H188" i="1"/>
  <c r="L184" i="1" s="1"/>
  <c r="H164" i="1"/>
  <c r="M184" i="1" l="1"/>
  <c r="H156" i="1"/>
  <c r="H160" i="1"/>
  <c r="D109" i="1"/>
  <c r="D108" i="1"/>
  <c r="D104" i="1"/>
  <c r="D103" i="1"/>
  <c r="D99" i="1"/>
  <c r="C107" i="1"/>
  <c r="C102" i="1"/>
  <c r="C97" i="1"/>
  <c r="C88" i="1"/>
  <c r="H81" i="1" s="1"/>
  <c r="C86" i="1"/>
  <c r="C52" i="1"/>
  <c r="F51" i="1" s="1"/>
  <c r="C125" i="1" s="1"/>
  <c r="B52" i="1"/>
  <c r="E53" i="1" s="1"/>
  <c r="B127" i="1" s="1"/>
  <c r="C47" i="1"/>
  <c r="B47" i="1"/>
  <c r="C42" i="1"/>
  <c r="B42" i="1"/>
  <c r="E47" i="1" l="1"/>
  <c r="G47" i="1" s="1"/>
  <c r="F57" i="1" s="1"/>
  <c r="L160" i="1"/>
  <c r="C195" i="1" s="1"/>
  <c r="C197" i="1" s="1"/>
  <c r="E42" i="1"/>
  <c r="G42" i="1" s="1"/>
  <c r="H71" i="1"/>
  <c r="H75" i="1"/>
  <c r="F52" i="1"/>
  <c r="C126" i="1" s="1"/>
  <c r="F53" i="1"/>
  <c r="E51" i="1"/>
  <c r="E52" i="1"/>
  <c r="B126" i="1" s="1"/>
  <c r="F56" i="1" l="1"/>
  <c r="M160" i="1"/>
  <c r="F126" i="1"/>
  <c r="L68" i="1"/>
  <c r="F120" i="1" s="1"/>
  <c r="I51" i="1"/>
  <c r="B125" i="1"/>
  <c r="F125" i="1" s="1"/>
  <c r="I53" i="1"/>
  <c r="C127" i="1"/>
  <c r="F127" i="1" s="1"/>
  <c r="I52" i="1"/>
  <c r="M68" i="1" l="1"/>
  <c r="L52" i="1"/>
  <c r="N52" i="1" s="1"/>
  <c r="F58" i="1" s="1"/>
  <c r="I126" i="1"/>
  <c r="C202" i="1" s="1"/>
</calcChain>
</file>

<file path=xl/sharedStrings.xml><?xml version="1.0" encoding="utf-8"?>
<sst xmlns="http://schemas.openxmlformats.org/spreadsheetml/2006/main" count="209" uniqueCount="133">
  <si>
    <t>Alternativa</t>
  </si>
  <si>
    <t>S1</t>
  </si>
  <si>
    <t>S2</t>
  </si>
  <si>
    <t>d1</t>
  </si>
  <si>
    <t>d2</t>
  </si>
  <si>
    <t>d3</t>
  </si>
  <si>
    <t>S1 -&gt;</t>
  </si>
  <si>
    <t>S2 -&gt;</t>
  </si>
  <si>
    <t>d1 -&gt;</t>
  </si>
  <si>
    <t>d2 -&gt;</t>
  </si>
  <si>
    <t>d3 -&gt;</t>
  </si>
  <si>
    <t>Ps1</t>
  </si>
  <si>
    <t>Ps2</t>
  </si>
  <si>
    <t>Baja demanda</t>
  </si>
  <si>
    <t>Alta demanda</t>
  </si>
  <si>
    <t>Galletas</t>
  </si>
  <si>
    <t>ENFOQUE OPTIMISTA</t>
  </si>
  <si>
    <t>--&gt;</t>
  </si>
  <si>
    <t>-&gt; Mejor alternativa</t>
  </si>
  <si>
    <t>ENFOQUE CONSERVADOR</t>
  </si>
  <si>
    <t>MATRIZ DE MAXIMO ARRPENTIMIENTO</t>
  </si>
  <si>
    <t xml:space="preserve">-&gt; Escoger el mayor </t>
  </si>
  <si>
    <t>--&gt; escoger el menor</t>
  </si>
  <si>
    <t>Mientras que el conservador me dice que la mejor es:</t>
  </si>
  <si>
    <t>Y el enfoue de maximo arrepentimiento dice que es:</t>
  </si>
  <si>
    <t>Por ser la mas equilibrada entre la demanda baja y la demanda alta</t>
  </si>
  <si>
    <t>TEORIA DE DECISIONES CON PROBABILIDAD</t>
  </si>
  <si>
    <t>S1   --&gt;</t>
  </si>
  <si>
    <t>S2   --&gt;</t>
  </si>
  <si>
    <t>Decisión</t>
  </si>
  <si>
    <t>Valor esperado</t>
  </si>
  <si>
    <t>EVd1=</t>
  </si>
  <si>
    <t>EVd2=</t>
  </si>
  <si>
    <t>EVd3=</t>
  </si>
  <si>
    <t>El valor esperado es:</t>
  </si>
  <si>
    <t>Analisis de sensibilidad</t>
  </si>
  <si>
    <t>EVd1 =</t>
  </si>
  <si>
    <t>EVd2 =</t>
  </si>
  <si>
    <t>EVd3 =</t>
  </si>
  <si>
    <t>El valor esperado según el analisis de sensibilidad es:</t>
  </si>
  <si>
    <t>ANALISIS DE GRAFICO</t>
  </si>
  <si>
    <t>P</t>
  </si>
  <si>
    <t>Ecuacion 1</t>
  </si>
  <si>
    <t>1-P</t>
  </si>
  <si>
    <t>P = 0</t>
  </si>
  <si>
    <t>P = 1</t>
  </si>
  <si>
    <t>Igualamos las ecuaciones</t>
  </si>
  <si>
    <t>EVd1 = EVd2</t>
  </si>
  <si>
    <t>P=</t>
  </si>
  <si>
    <t>EVd1 = EVd3</t>
  </si>
  <si>
    <t>EVd2 = EVd3</t>
  </si>
  <si>
    <t>VALOR ESPERADO CON INFORMACIÓN PERFECTA</t>
  </si>
  <si>
    <t>Partiendo del mayor valor de cada S</t>
  </si>
  <si>
    <t xml:space="preserve">VE= </t>
  </si>
  <si>
    <t>Diferencia de VE perfecto con Ve incial</t>
  </si>
  <si>
    <t>VE-&gt;</t>
  </si>
  <si>
    <t>P(F/s1) =</t>
  </si>
  <si>
    <t>P(U/s1) =</t>
  </si>
  <si>
    <t>P(F/s2) =</t>
  </si>
  <si>
    <t>P(U/s2) =</t>
  </si>
  <si>
    <t>Probabilidad de ser favorable =</t>
  </si>
  <si>
    <t>Probabilidad de no ser favorable =</t>
  </si>
  <si>
    <t>Teorema de bayes</t>
  </si>
  <si>
    <t>P(S1/F) =</t>
  </si>
  <si>
    <t>P(S2/F) =</t>
  </si>
  <si>
    <t>P(S1/U) =</t>
  </si>
  <si>
    <t>Arbol de decisón</t>
  </si>
  <si>
    <t>Favorable</t>
  </si>
  <si>
    <t>Desfavorable</t>
  </si>
  <si>
    <t>VEOD =</t>
  </si>
  <si>
    <t>El valor esperado para que sea desvaforable es  es:</t>
  </si>
  <si>
    <t>El valor esperado para que sea favorbale es:</t>
  </si>
  <si>
    <t>IVEM =</t>
  </si>
  <si>
    <t>EFICIENCIA DEL MERCADO</t>
  </si>
  <si>
    <t>VE ADICIONAL</t>
  </si>
  <si>
    <t>IVEM   =</t>
  </si>
  <si>
    <t>Matriz de decisión</t>
  </si>
  <si>
    <t>40% es el punto critico donde nuestra decision cambia</t>
  </si>
  <si>
    <t>Con la matriz de maximo arrepentimiento</t>
  </si>
  <si>
    <t>Probabilidad de demanda baja</t>
  </si>
  <si>
    <t>Probabilidad de demanda alta</t>
  </si>
  <si>
    <t>Si el estudio es desfavorable</t>
  </si>
  <si>
    <t>P(S2/U) =</t>
  </si>
  <si>
    <t>--&gt; disponer del estudio del mercado mejora, en promedio, el resutado economico de la decision en 132mil (cuanto estariamos dispuestos a pagar por el estudio)</t>
  </si>
  <si>
    <t>La información muestral presenta una eficiencia aproximada del 48,89%. Esto significa que el estudio de mercado permite obtener cerca del 49% del beneficio que se podría alcanzar si se tuviera información perfecta sobre la demanda.</t>
  </si>
  <si>
    <t>Si se hace el estudio y resulta favorable, la mejor decisión seria d3</t>
  </si>
  <si>
    <t>Si se hace el estudio y resulta desfavorable, la mejor decisión seria d1</t>
  </si>
  <si>
    <t>ANALISIS DE DECISIÓN CON INFORMACIÓN MUESTRAL</t>
  </si>
  <si>
    <t>PROBLEMA</t>
  </si>
  <si>
    <t>Chips Bakery es una empresa dedicada a la producción y comercialización de galletas.</t>
  </si>
  <si>
    <t>La empresa debe determinar la cantidad de galletas que producirá en el próximo mes.</t>
  </si>
  <si>
    <t>Esta decisión debe tomarse teniendo en cuenta que la cantidad de productos puede variar y no se conoce con certeza cuantas unidades serán solicitadas por los clientes</t>
  </si>
  <si>
    <t>La empresa considera 3 alternativas de solución: Producir 100, 250 o 400.</t>
  </si>
  <si>
    <t xml:space="preserve">la empresa busca aplicar teoría de decisiones para evaluar las diferentes alternativas y determinar el nivel de producción que resulta más conveniente frente a los posible escenarios de demanda </t>
  </si>
  <si>
    <t>Datos del problema</t>
  </si>
  <si>
    <t>Solución</t>
  </si>
  <si>
    <t>VE=</t>
  </si>
  <si>
    <t>--&gt; Lo que la empresa esta dispuesta a pagar por obtene información que permita conocer con total certeza, si a demanda es baja o alta</t>
  </si>
  <si>
    <t xml:space="preserve">Precio de venta </t>
  </si>
  <si>
    <t xml:space="preserve">Costo </t>
  </si>
  <si>
    <t>Ganancia</t>
  </si>
  <si>
    <t>Este enfoque nos da la alternativa que mayor benefecio presenta, sin importar el riesgo que tenga</t>
  </si>
  <si>
    <t>Este enfoque nos da la alternativa que presenta un menor riesgo, aunque no tenga la mejor ganancia.</t>
  </si>
  <si>
    <t>El enfoque nos arroja la alternativa intermedia, osea que si se presenta una situacion desfavorable, no se pierda tanto</t>
  </si>
  <si>
    <t>El valor esperado nos da el promedio entre lo que esperamos ganar o perder en cada alternativa y de ahí esocgemos el valor mayor</t>
  </si>
  <si>
    <t>El analisis nos muestra el punto donde nuestra decision va a cambiar</t>
  </si>
  <si>
    <t>El punto donde se intersectan las ecuaciones es 40%</t>
  </si>
  <si>
    <t>Para nuestro problema lo vamos a trabajr en miles</t>
  </si>
  <si>
    <t xml:space="preserve">Nos muestra el promedio de lo que esperamos perder, por eso se esocge el menor, que es "la menor perdida" </t>
  </si>
  <si>
    <t>cuanto mas espermaos gaans si se sabe la informacion perfecta</t>
  </si>
  <si>
    <t>Nos dice lo que podemos dejar de ganar o perder por no saber la información perfecta</t>
  </si>
  <si>
    <t>Si el estudio es favorable</t>
  </si>
  <si>
    <t>El análisis con información muestral se realiza para determinar si obtener información adicional, como un estudio de mercado, puede mejorar nuestra decisión. Esta información no elimina completamente la incertidumbre, pero permite actualizar las probabilidades mediante Bayes y escoger una alternativa diferente dependiendo del resultado del estudio.</t>
  </si>
  <si>
    <t>cuánto beneficio adicional esperamos obtener gracias a la información que nos proporciona.</t>
  </si>
  <si>
    <t>Ecuacion 2</t>
  </si>
  <si>
    <t>Ecuacion 3</t>
  </si>
  <si>
    <t xml:space="preserve">Ps1 = </t>
  </si>
  <si>
    <t xml:space="preserve">Ps2 = </t>
  </si>
  <si>
    <t>El enfoque optimista me dice la mejor alternativa es :</t>
  </si>
  <si>
    <t>Analizando los datos, el proyector decide que la mejor alternativa es d2</t>
  </si>
  <si>
    <t>Cuando incorporamos las probabilidades de ocurrencia, el d3 se convierte en el escenario con mayor valor esprado, lo que dice que es el mas indicado para el proyecto</t>
  </si>
  <si>
    <t>VEIP =</t>
  </si>
  <si>
    <t>--&gt; comprobación del VEIP</t>
  </si>
  <si>
    <r>
      <t>--&gt; valor esperado con información muestral.</t>
    </r>
    <r>
      <rPr>
        <b/>
        <sz val="11"/>
        <color theme="5" tint="-0.249977111117893"/>
        <rFont val="Aptos Narrow"/>
        <family val="2"/>
        <scheme val="minor"/>
      </rPr>
      <t xml:space="preserve"> </t>
    </r>
  </si>
  <si>
    <t>supuesto deman</t>
  </si>
  <si>
    <t>Si la empresa produce una cantidad superior a la demanda, puede generar costos adicionales de los productos no vendidos, por el contrario, si produce menos, puede perder oportunidades de ventas, pero no va a generar perdidas monetarias</t>
  </si>
  <si>
    <t>Mejor de lo mejor</t>
  </si>
  <si>
    <t>Peor y mejor del peor</t>
  </si>
  <si>
    <t>VALOR ESPERADO CON INFORMACIÓN MUESTRAL</t>
  </si>
  <si>
    <t>EL promedio de lo que esperamos ganar si es favorable o no</t>
  </si>
  <si>
    <t>A su vez pueden presentar dos posibles escenarios de la demanda: Baja y alta</t>
  </si>
  <si>
    <r>
      <t xml:space="preserve">El análisis de sensibilidad evalúa el impacto de variaciones incontrolables en los estados de la naturaleza. Para Chip Bakery, un caso real extremo ocurre por contingencias viales u obras públicas frente al local propio de venta directa, lo cual desploma la afluencia de clientes. Bajo la política interna estricta de frescura ('Horneado Hoy, Fresco Hoy'), las galletas no vendidas al cierre del día se descartan a merma total ($3/unidad). Al invertir las probabilidades a </t>
    </r>
    <r>
      <rPr>
        <b/>
        <sz val="11"/>
        <color theme="1"/>
        <rFont val="Aptos Narrow"/>
        <family val="2"/>
        <scheme val="minor"/>
      </rPr>
      <t>Ps1=0.7</t>
    </r>
    <r>
      <rPr>
        <sz val="11"/>
        <color theme="1"/>
        <rFont val="Aptos Narrow"/>
        <family val="2"/>
        <scheme val="minor"/>
      </rPr>
      <t xml:space="preserve"> (demanda baja) y </t>
    </r>
    <r>
      <rPr>
        <b/>
        <sz val="11"/>
        <color theme="1"/>
        <rFont val="Aptos Narrow"/>
        <family val="2"/>
        <scheme val="minor"/>
      </rPr>
      <t xml:space="preserve">Ps2=0.3 </t>
    </r>
    <r>
      <rPr>
        <sz val="11"/>
        <color theme="1"/>
        <rFont val="Aptos Narrow"/>
        <family val="2"/>
        <scheme val="minor"/>
      </rPr>
      <t>(demanda alta) por la baja afluencia, el valor esperado de la producción alta</t>
    </r>
    <r>
      <rPr>
        <b/>
        <sz val="11"/>
        <color theme="1"/>
        <rFont val="Aptos Narrow"/>
        <family val="2"/>
        <scheme val="minor"/>
      </rPr>
      <t xml:space="preserve"> d3</t>
    </r>
    <r>
      <rPr>
        <sz val="11"/>
        <color theme="1"/>
        <rFont val="Aptos Narrow"/>
        <family val="2"/>
        <scheme val="minor"/>
      </rPr>
      <t xml:space="preserve"> cae drásticamente a</t>
    </r>
    <r>
      <rPr>
        <b/>
        <sz val="11"/>
        <color theme="1"/>
        <rFont val="Aptos Narrow"/>
        <family val="2"/>
        <scheme val="minor"/>
      </rPr>
      <t xml:space="preserve"> -250</t>
    </r>
    <r>
      <rPr>
        <sz val="11"/>
        <color theme="1"/>
        <rFont val="Aptos Narrow"/>
        <family val="2"/>
        <scheme val="minor"/>
      </rPr>
      <t xml:space="preserve"> y </t>
    </r>
    <r>
      <rPr>
        <b/>
        <sz val="11"/>
        <color theme="1"/>
        <rFont val="Aptos Narrow"/>
        <family val="2"/>
        <scheme val="minor"/>
      </rPr>
      <t>d2</t>
    </r>
    <r>
      <rPr>
        <sz val="11"/>
        <color theme="1"/>
        <rFont val="Aptos Narrow"/>
        <family val="2"/>
        <scheme val="minor"/>
      </rPr>
      <t xml:space="preserve"> a </t>
    </r>
    <r>
      <rPr>
        <b/>
        <sz val="11"/>
        <color theme="1"/>
        <rFont val="Aptos Narrow"/>
        <family val="2"/>
        <scheme val="minor"/>
      </rPr>
      <t>-25</t>
    </r>
    <r>
      <rPr>
        <sz val="11"/>
        <color theme="1"/>
        <rFont val="Aptos Narrow"/>
        <family val="2"/>
        <scheme val="minor"/>
      </rPr>
      <t xml:space="preserve">, convirtiendo a </t>
    </r>
    <r>
      <rPr>
        <b/>
        <sz val="11"/>
        <color theme="1"/>
        <rFont val="Aptos Narrow"/>
        <family val="2"/>
        <scheme val="minor"/>
      </rPr>
      <t>d1</t>
    </r>
    <r>
      <rPr>
        <sz val="11"/>
        <color theme="1"/>
        <rFont val="Aptos Narrow"/>
        <family val="2"/>
        <scheme val="minor"/>
      </rPr>
      <t xml:space="preserve"> (100 unidades, </t>
    </r>
    <r>
      <rPr>
        <b/>
        <sz val="11"/>
        <color theme="1"/>
        <rFont val="Aptos Narrow"/>
        <family val="2"/>
        <scheme val="minor"/>
      </rPr>
      <t>EV = 200</t>
    </r>
    <r>
      <rPr>
        <sz val="11"/>
        <color theme="1"/>
        <rFont val="Aptos Narrow"/>
        <family val="2"/>
        <scheme val="minor"/>
      </rPr>
      <t>) en la única alternativa segura de refugio para no incurrir en mermas.</t>
    </r>
  </si>
  <si>
    <t>Las variaciones en la demanda se deben a factores externos como la estacionalidad (caída de ventas en enero tras festividades), el clima (el calor desplaza la preferencia hacia productos fríos). Ante estos escenarios de bajo flujo, la estrategia debe ajustar la producción a 100 unidades para evitar pérdidas por descarte de galletas no vendidas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</si>
</sst>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0"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theme="2"/>
      <name val="Aptos Narrow"/>
      <family val="2"/>
      <scheme val="minor"/>
    </font>
    <font>
      <sz val="11"/>
      <color theme="1"/>
      <name val="Aptos"/>
      <family val="2"/>
    </font>
    <font>
      <b/>
      <sz val="11"/>
      <color theme="1"/>
      <name val="Aptos"/>
      <family val="2"/>
    </font>
    <font>
      <sz val="11"/>
      <color theme="1"/>
      <name val="Aptos Narrow"/>
      <family val="2"/>
    </font>
    <font>
      <b/>
      <sz val="11"/>
      <color theme="5" tint="-0.249977111117893"/>
      <name val="Aptos Narrow"/>
      <family val="2"/>
      <scheme val="minor"/>
    </font>
    <font>
      <b/>
      <i/>
      <sz val="11"/>
      <color theme="1"/>
      <name val="Aptos Narrow"/>
      <family val="2"/>
      <scheme val="minor"/>
    </font>
    <font>
      <sz val="11"/>
      <color theme="5" tint="-0.249977111117893"/>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cellStyleXfs>
  <cellXfs count="63">
    <xf numFmtId="0" fontId="0" fillId="0" borderId="0" xfId="0"/>
    <xf numFmtId="9" fontId="0" fillId="0" borderId="0" xfId="0" applyNumberFormat="1"/>
    <xf numFmtId="0" fontId="0" fillId="0" borderId="1" xfId="0" applyBorder="1"/>
    <xf numFmtId="0" fontId="1" fillId="2" borderId="1" xfId="0" applyFont="1" applyFill="1" applyBorder="1"/>
    <xf numFmtId="0" fontId="0" fillId="0" borderId="0" xfId="0" quotePrefix="1"/>
    <xf numFmtId="0" fontId="0" fillId="0" borderId="0" xfId="0" applyAlignment="1">
      <alignment horizontal="left"/>
    </xf>
    <xf numFmtId="0" fontId="0" fillId="0" borderId="0" xfId="0" applyAlignment="1">
      <alignment horizontal="center"/>
    </xf>
    <xf numFmtId="0" fontId="0" fillId="0" borderId="0" xfId="0" quotePrefix="1" applyAlignment="1">
      <alignment horizontal="center"/>
    </xf>
    <xf numFmtId="0" fontId="0" fillId="2" borderId="2" xfId="0" applyFill="1" applyBorder="1" applyAlignment="1">
      <alignment horizontal="center"/>
    </xf>
    <xf numFmtId="0" fontId="1" fillId="0" borderId="0" xfId="0" applyFont="1"/>
    <xf numFmtId="0" fontId="0" fillId="0" borderId="0" xfId="0" applyAlignment="1">
      <alignment horizontal="right"/>
    </xf>
    <xf numFmtId="0" fontId="1" fillId="0" borderId="0" xfId="0" applyFont="1" applyAlignment="1">
      <alignment horizontal="center"/>
    </xf>
    <xf numFmtId="0" fontId="1" fillId="2" borderId="2" xfId="0" applyFont="1" applyFill="1" applyBorder="1"/>
    <xf numFmtId="1" fontId="0" fillId="0" borderId="0" xfId="0" applyNumberFormat="1"/>
    <xf numFmtId="1" fontId="3" fillId="0" borderId="0" xfId="0" applyNumberFormat="1" applyFont="1"/>
    <xf numFmtId="0" fontId="3" fillId="0" borderId="0" xfId="0" applyFont="1"/>
    <xf numFmtId="164" fontId="0" fillId="0" borderId="0" xfId="1" applyNumberFormat="1" applyFont="1"/>
    <xf numFmtId="164" fontId="1" fillId="2" borderId="2" xfId="0" applyNumberFormat="1" applyFont="1" applyFill="1" applyBorder="1"/>
    <xf numFmtId="10" fontId="0" fillId="0" borderId="0" xfId="0" applyNumberFormat="1"/>
    <xf numFmtId="1" fontId="1" fillId="2" borderId="2" xfId="0" applyNumberFormat="1" applyFont="1" applyFill="1" applyBorder="1"/>
    <xf numFmtId="0" fontId="0" fillId="0" borderId="9" xfId="0" applyBorder="1" applyAlignment="1">
      <alignment horizontal="center"/>
    </xf>
    <xf numFmtId="9" fontId="0" fillId="0" borderId="0" xfId="2" applyFont="1"/>
    <xf numFmtId="0" fontId="1" fillId="0" borderId="0" xfId="0" applyFont="1" applyAlignment="1">
      <alignment horizontal="right"/>
    </xf>
    <xf numFmtId="0" fontId="0" fillId="0" borderId="0" xfId="0" applyAlignment="1">
      <alignment wrapText="1"/>
    </xf>
    <xf numFmtId="0" fontId="4" fillId="0" borderId="0" xfId="0" applyFont="1" applyAlignment="1">
      <alignment horizontal="left" wrapText="1"/>
    </xf>
    <xf numFmtId="0" fontId="7" fillId="0" borderId="0" xfId="0" applyFont="1"/>
    <xf numFmtId="9" fontId="0" fillId="2" borderId="0" xfId="2" applyFont="1" applyFill="1" applyAlignment="1">
      <alignment horizontal="center"/>
    </xf>
    <xf numFmtId="9" fontId="0" fillId="0" borderId="0" xfId="2" applyFont="1" applyAlignment="1">
      <alignment horizontal="center"/>
    </xf>
    <xf numFmtId="164" fontId="0" fillId="0" borderId="0" xfId="1" applyNumberFormat="1" applyFont="1" applyAlignment="1">
      <alignment horizontal="center"/>
    </xf>
    <xf numFmtId="0" fontId="5" fillId="0" borderId="0" xfId="0" applyFont="1" applyAlignment="1">
      <alignment horizontal="center"/>
    </xf>
    <xf numFmtId="0" fontId="7" fillId="0" borderId="0" xfId="0" applyFont="1" applyAlignment="1">
      <alignment horizontal="center" wrapText="1"/>
    </xf>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8" fillId="0" borderId="0" xfId="0" applyFont="1"/>
    <xf numFmtId="0" fontId="1" fillId="0" borderId="0" xfId="0" quotePrefix="1" applyFont="1"/>
    <xf numFmtId="9" fontId="1" fillId="0" borderId="0" xfId="2" applyFont="1" applyAlignment="1">
      <alignment horizontal="right"/>
    </xf>
    <xf numFmtId="0" fontId="9" fillId="0" borderId="0" xfId="0" applyFont="1"/>
    <xf numFmtId="164" fontId="0" fillId="0" borderId="0" xfId="0" applyNumberFormat="1"/>
    <xf numFmtId="0" fontId="5" fillId="2" borderId="0" xfId="0" applyFont="1" applyFill="1" applyAlignment="1">
      <alignment horizontal="center"/>
    </xf>
    <xf numFmtId="0" fontId="1" fillId="2" borderId="0" xfId="0" applyFont="1" applyFill="1" applyAlignment="1">
      <alignment horizontal="center"/>
    </xf>
    <xf numFmtId="0" fontId="7" fillId="0" borderId="0" xfId="0" applyFont="1" applyAlignment="1">
      <alignment horizontal="left" wrapText="1"/>
    </xf>
    <xf numFmtId="0" fontId="5" fillId="0" borderId="0" xfId="0" applyFont="1" applyAlignment="1">
      <alignment horizontal="left"/>
    </xf>
    <xf numFmtId="0" fontId="5" fillId="0" borderId="0" xfId="0" applyFont="1" applyAlignment="1">
      <alignment horizontal="left" wrapText="1"/>
    </xf>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horizontal="center" vertical="center"/>
    </xf>
    <xf numFmtId="0" fontId="0" fillId="0" borderId="0" xfId="0" applyAlignment="1">
      <alignment horizontal="center"/>
    </xf>
    <xf numFmtId="9" fontId="1" fillId="0" borderId="0" xfId="2" applyFont="1" applyAlignment="1">
      <alignment horizontal="center"/>
    </xf>
    <xf numFmtId="0" fontId="1" fillId="0" borderId="0" xfId="0" quotePrefix="1" applyFont="1" applyAlignment="1">
      <alignment horizontal="center"/>
    </xf>
    <xf numFmtId="0" fontId="1" fillId="3" borderId="0" xfId="0" applyFont="1" applyFill="1" applyAlignment="1">
      <alignment horizontal="center"/>
    </xf>
    <xf numFmtId="0" fontId="7" fillId="0" borderId="0" xfId="0" applyFont="1" applyAlignment="1">
      <alignment horizontal="center" wrapText="1"/>
    </xf>
    <xf numFmtId="0" fontId="0" fillId="0" borderId="0" xfId="0" applyAlignment="1">
      <alignment horizontal="center" wrapText="1"/>
    </xf>
    <xf numFmtId="165" fontId="1" fillId="2" borderId="10" xfId="2" applyNumberFormat="1" applyFont="1" applyFill="1" applyBorder="1" applyAlignment="1">
      <alignment horizontal="center" vertical="center"/>
    </xf>
    <xf numFmtId="165" fontId="1" fillId="2" borderId="11" xfId="2" applyNumberFormat="1" applyFont="1" applyFill="1" applyBorder="1" applyAlignment="1">
      <alignment horizontal="center" vertical="center"/>
    </xf>
    <xf numFmtId="0" fontId="1" fillId="0" borderId="0" xfId="0" quotePrefix="1" applyFont="1" applyAlignment="1">
      <alignment horizontal="center" wrapText="1"/>
    </xf>
    <xf numFmtId="0" fontId="0" fillId="0" borderId="0" xfId="0" applyFont="1" applyAlignment="1">
      <alignment horizontal="center" vertical="top" wrapText="1"/>
    </xf>
    <xf numFmtId="0" fontId="0" fillId="0" borderId="0" xfId="0" applyFont="1" applyAlignment="1">
      <alignment vertical="top" wrapText="1"/>
    </xf>
    <xf numFmtId="0" fontId="0" fillId="0" borderId="0" xfId="0" applyAlignment="1">
      <alignment horizontal="center" vertical="top" wrapText="1"/>
    </xf>
    <xf numFmtId="0" fontId="0" fillId="0" borderId="0" xfId="0" applyAlignment="1">
      <alignment vertical="top" wrapText="1"/>
    </xf>
  </cellXfs>
  <cellStyles count="4">
    <cellStyle name="Millares" xfId="1" builtinId="3"/>
    <cellStyle name="Normal" xfId="0" builtinId="0"/>
    <cellStyle name="Normal 2" xfId="3" xr:uid="{50BF3FC5-2C88-43C5-8308-4DDD274A4271}"/>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Interseccion de ecuaciones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v>Ec_1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Hoja1!$E$93:$E$94</c:f>
              <c:numCache>
                <c:formatCode>General</c:formatCode>
                <c:ptCount val="2"/>
                <c:pt idx="0">
                  <c:v>0</c:v>
                </c:pt>
                <c:pt idx="1">
                  <c:v>1</c:v>
                </c:pt>
              </c:numCache>
            </c:numRef>
          </c:xVal>
          <c:yVal>
            <c:numRef>
              <c:f>Hoja1!$D$98:$D$99</c:f>
              <c:numCache>
                <c:formatCode>General</c:formatCode>
                <c:ptCount val="2"/>
                <c:pt idx="0">
                  <c:v>200</c:v>
                </c:pt>
                <c:pt idx="1">
                  <c:v>200</c:v>
                </c:pt>
              </c:numCache>
            </c:numRef>
          </c:yVal>
          <c:smooth val="1"/>
          <c:extLst>
            <c:ext xmlns:c16="http://schemas.microsoft.com/office/drawing/2014/chart" uri="{C3380CC4-5D6E-409C-BE32-E72D297353CC}">
              <c16:uniqueId val="{00000000-07FC-4B79-9CB9-94C07CD911EF}"/>
            </c:ext>
          </c:extLst>
        </c:ser>
        <c:ser>
          <c:idx val="1"/>
          <c:order val="1"/>
          <c:tx>
            <c:v>Ec_2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Hoja1!$E$93:$E$94</c:f>
              <c:numCache>
                <c:formatCode>General</c:formatCode>
                <c:ptCount val="2"/>
                <c:pt idx="0">
                  <c:v>0</c:v>
                </c:pt>
                <c:pt idx="1">
                  <c:v>1</c:v>
                </c:pt>
              </c:numCache>
            </c:numRef>
          </c:xVal>
          <c:yVal>
            <c:numRef>
              <c:f>Hoja1!$D$103:$D$104</c:f>
              <c:numCache>
                <c:formatCode>General</c:formatCode>
                <c:ptCount val="2"/>
                <c:pt idx="0">
                  <c:v>500</c:v>
                </c:pt>
                <c:pt idx="1">
                  <c:v>-250</c:v>
                </c:pt>
              </c:numCache>
            </c:numRef>
          </c:yVal>
          <c:smooth val="1"/>
          <c:extLst>
            <c:ext xmlns:c16="http://schemas.microsoft.com/office/drawing/2014/chart" uri="{C3380CC4-5D6E-409C-BE32-E72D297353CC}">
              <c16:uniqueId val="{00000002-07FC-4B79-9CB9-94C07CD911EF}"/>
            </c:ext>
          </c:extLst>
        </c:ser>
        <c:ser>
          <c:idx val="2"/>
          <c:order val="2"/>
          <c:tx>
            <c:v>Ec_3</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Hoja1!$E$93:$E$94</c:f>
              <c:numCache>
                <c:formatCode>General</c:formatCode>
                <c:ptCount val="2"/>
                <c:pt idx="0">
                  <c:v>0</c:v>
                </c:pt>
                <c:pt idx="1">
                  <c:v>1</c:v>
                </c:pt>
              </c:numCache>
            </c:numRef>
          </c:xVal>
          <c:yVal>
            <c:numRef>
              <c:f>Hoja1!$D$108:$D$109</c:f>
              <c:numCache>
                <c:formatCode>General</c:formatCode>
                <c:ptCount val="2"/>
                <c:pt idx="0">
                  <c:v>800</c:v>
                </c:pt>
                <c:pt idx="1">
                  <c:v>-700</c:v>
                </c:pt>
              </c:numCache>
            </c:numRef>
          </c:yVal>
          <c:smooth val="1"/>
          <c:extLst>
            <c:ext xmlns:c16="http://schemas.microsoft.com/office/drawing/2014/chart" uri="{C3380CC4-5D6E-409C-BE32-E72D297353CC}">
              <c16:uniqueId val="{00000003-07FC-4B79-9CB9-94C07CD911EF}"/>
            </c:ext>
          </c:extLst>
        </c:ser>
        <c:dLbls>
          <c:showLegendKey val="0"/>
          <c:showVal val="0"/>
          <c:showCatName val="0"/>
          <c:showSerName val="0"/>
          <c:showPercent val="0"/>
          <c:showBubbleSize val="0"/>
        </c:dLbls>
        <c:axId val="1067906127"/>
        <c:axId val="1683383007"/>
      </c:scatterChart>
      <c:valAx>
        <c:axId val="1067906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83383007"/>
        <c:crosses val="autoZero"/>
        <c:crossBetween val="midCat"/>
      </c:valAx>
      <c:valAx>
        <c:axId val="168338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679061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6" fmlaLink="$G$110" max="100" page="10" val="3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71</xdr:row>
      <xdr:rowOff>5773</xdr:rowOff>
    </xdr:from>
    <xdr:to>
      <xdr:col>3</xdr:col>
      <xdr:colOff>0</xdr:colOff>
      <xdr:row>74</xdr:row>
      <xdr:rowOff>92364</xdr:rowOff>
    </xdr:to>
    <xdr:cxnSp macro="">
      <xdr:nvCxnSpPr>
        <xdr:cNvPr id="23" name="Conector: angular 22">
          <a:extLst>
            <a:ext uri="{FF2B5EF4-FFF2-40B4-BE49-F238E27FC236}">
              <a16:creationId xmlns:a16="http://schemas.microsoft.com/office/drawing/2014/main" id="{5D621EA4-323A-FFD5-1C64-FF2E50066451}"/>
            </a:ext>
          </a:extLst>
        </xdr:cNvPr>
        <xdr:cNvCxnSpPr/>
      </xdr:nvCxnSpPr>
      <xdr:spPr>
        <a:xfrm>
          <a:off x="1524000" y="8168409"/>
          <a:ext cx="762000" cy="640773"/>
        </a:xfrm>
        <a:prstGeom prst="bentConnector3">
          <a:avLst>
            <a:gd name="adj1" fmla="val 0"/>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66</xdr:row>
      <xdr:rowOff>88900</xdr:rowOff>
    </xdr:from>
    <xdr:to>
      <xdr:col>2</xdr:col>
      <xdr:colOff>1041400</xdr:colOff>
      <xdr:row>70</xdr:row>
      <xdr:rowOff>0</xdr:rowOff>
    </xdr:to>
    <xdr:cxnSp macro="">
      <xdr:nvCxnSpPr>
        <xdr:cNvPr id="28" name="Conector: angular 27">
          <a:extLst>
            <a:ext uri="{FF2B5EF4-FFF2-40B4-BE49-F238E27FC236}">
              <a16:creationId xmlns:a16="http://schemas.microsoft.com/office/drawing/2014/main" id="{D523CEAA-27CF-E28D-9E61-4D1B881E447D}"/>
            </a:ext>
          </a:extLst>
        </xdr:cNvPr>
        <xdr:cNvCxnSpPr/>
      </xdr:nvCxnSpPr>
      <xdr:spPr>
        <a:xfrm flipV="1">
          <a:off x="1670050" y="7308850"/>
          <a:ext cx="1041400" cy="660400"/>
        </a:xfrm>
        <a:prstGeom prst="bentConnector3">
          <a:avLst>
            <a:gd name="adj1" fmla="val 610"/>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414482</xdr:colOff>
      <xdr:row>70</xdr:row>
      <xdr:rowOff>98136</xdr:rowOff>
    </xdr:from>
    <xdr:to>
      <xdr:col>2</xdr:col>
      <xdr:colOff>871415</xdr:colOff>
      <xdr:row>70</xdr:row>
      <xdr:rowOff>102577</xdr:rowOff>
    </xdr:to>
    <xdr:cxnSp macro="">
      <xdr:nvCxnSpPr>
        <xdr:cNvPr id="32" name="Conector recto 31">
          <a:extLst>
            <a:ext uri="{FF2B5EF4-FFF2-40B4-BE49-F238E27FC236}">
              <a16:creationId xmlns:a16="http://schemas.microsoft.com/office/drawing/2014/main" id="{510ABCBD-1083-E1D4-EFE2-BC2DB79D5528}"/>
            </a:ext>
          </a:extLst>
        </xdr:cNvPr>
        <xdr:cNvCxnSpPr/>
      </xdr:nvCxnSpPr>
      <xdr:spPr>
        <a:xfrm>
          <a:off x="2084532" y="8067386"/>
          <a:ext cx="456933" cy="444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89876</xdr:colOff>
      <xdr:row>73</xdr:row>
      <xdr:rowOff>93383</xdr:rowOff>
    </xdr:from>
    <xdr:to>
      <xdr:col>3</xdr:col>
      <xdr:colOff>549088</xdr:colOff>
      <xdr:row>73</xdr:row>
      <xdr:rowOff>177800</xdr:rowOff>
    </xdr:to>
    <xdr:cxnSp macro="">
      <xdr:nvCxnSpPr>
        <xdr:cNvPr id="41" name="Conector: angular 40">
          <a:extLst>
            <a:ext uri="{FF2B5EF4-FFF2-40B4-BE49-F238E27FC236}">
              <a16:creationId xmlns:a16="http://schemas.microsoft.com/office/drawing/2014/main" id="{D5DE9FE8-FCE1-4A16-8A32-4397CA0858D1}"/>
            </a:ext>
          </a:extLst>
        </xdr:cNvPr>
        <xdr:cNvCxnSpPr/>
      </xdr:nvCxnSpPr>
      <xdr:spPr>
        <a:xfrm flipV="1">
          <a:off x="2375876" y="8557559"/>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100853</xdr:colOff>
      <xdr:row>67</xdr:row>
      <xdr:rowOff>7471</xdr:rowOff>
    </xdr:from>
    <xdr:to>
      <xdr:col>3</xdr:col>
      <xdr:colOff>549088</xdr:colOff>
      <xdr:row>67</xdr:row>
      <xdr:rowOff>100853</xdr:rowOff>
    </xdr:to>
    <xdr:cxnSp macro="">
      <xdr:nvCxnSpPr>
        <xdr:cNvPr id="43" name="Conector: angular 42">
          <a:extLst>
            <a:ext uri="{FF2B5EF4-FFF2-40B4-BE49-F238E27FC236}">
              <a16:creationId xmlns:a16="http://schemas.microsoft.com/office/drawing/2014/main" id="{BB3AFD16-B47A-5D99-F9B8-5EA64F99E88B}"/>
            </a:ext>
          </a:extLst>
        </xdr:cNvPr>
        <xdr:cNvCxnSpPr/>
      </xdr:nvCxnSpPr>
      <xdr:spPr>
        <a:xfrm>
          <a:off x="2386853" y="7373471"/>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85912</xdr:colOff>
      <xdr:row>69</xdr:row>
      <xdr:rowOff>89648</xdr:rowOff>
    </xdr:from>
    <xdr:to>
      <xdr:col>3</xdr:col>
      <xdr:colOff>545124</xdr:colOff>
      <xdr:row>69</xdr:row>
      <xdr:rowOff>174065</xdr:rowOff>
    </xdr:to>
    <xdr:cxnSp macro="">
      <xdr:nvCxnSpPr>
        <xdr:cNvPr id="53" name="Conector: angular 52">
          <a:extLst>
            <a:ext uri="{FF2B5EF4-FFF2-40B4-BE49-F238E27FC236}">
              <a16:creationId xmlns:a16="http://schemas.microsoft.com/office/drawing/2014/main" id="{F8EC9F47-4652-49E7-BF25-8E82A14306EA}"/>
            </a:ext>
          </a:extLst>
        </xdr:cNvPr>
        <xdr:cNvCxnSpPr/>
      </xdr:nvCxnSpPr>
      <xdr:spPr>
        <a:xfrm flipV="1">
          <a:off x="2371912" y="7821707"/>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88900</xdr:colOff>
      <xdr:row>65</xdr:row>
      <xdr:rowOff>85166</xdr:rowOff>
    </xdr:from>
    <xdr:to>
      <xdr:col>3</xdr:col>
      <xdr:colOff>548112</xdr:colOff>
      <xdr:row>65</xdr:row>
      <xdr:rowOff>169583</xdr:rowOff>
    </xdr:to>
    <xdr:cxnSp macro="">
      <xdr:nvCxnSpPr>
        <xdr:cNvPr id="54" name="Conector: angular 53">
          <a:extLst>
            <a:ext uri="{FF2B5EF4-FFF2-40B4-BE49-F238E27FC236}">
              <a16:creationId xmlns:a16="http://schemas.microsoft.com/office/drawing/2014/main" id="{515FAE1B-E9EE-4313-8A84-9164471AEECC}"/>
            </a:ext>
          </a:extLst>
        </xdr:cNvPr>
        <xdr:cNvCxnSpPr/>
      </xdr:nvCxnSpPr>
      <xdr:spPr>
        <a:xfrm flipV="1">
          <a:off x="2807146" y="11637710"/>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100106</xdr:colOff>
      <xdr:row>71</xdr:row>
      <xdr:rowOff>6723</xdr:rowOff>
    </xdr:from>
    <xdr:to>
      <xdr:col>3</xdr:col>
      <xdr:colOff>548341</xdr:colOff>
      <xdr:row>71</xdr:row>
      <xdr:rowOff>100105</xdr:rowOff>
    </xdr:to>
    <xdr:cxnSp macro="">
      <xdr:nvCxnSpPr>
        <xdr:cNvPr id="61" name="Conector: angular 60">
          <a:extLst>
            <a:ext uri="{FF2B5EF4-FFF2-40B4-BE49-F238E27FC236}">
              <a16:creationId xmlns:a16="http://schemas.microsoft.com/office/drawing/2014/main" id="{497C1A40-85B1-466E-965D-3248222B422B}"/>
            </a:ext>
          </a:extLst>
        </xdr:cNvPr>
        <xdr:cNvCxnSpPr/>
      </xdr:nvCxnSpPr>
      <xdr:spPr>
        <a:xfrm>
          <a:off x="2386106" y="8104841"/>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99359</xdr:colOff>
      <xdr:row>75</xdr:row>
      <xdr:rowOff>5977</xdr:rowOff>
    </xdr:from>
    <xdr:to>
      <xdr:col>3</xdr:col>
      <xdr:colOff>547594</xdr:colOff>
      <xdr:row>75</xdr:row>
      <xdr:rowOff>99359</xdr:rowOff>
    </xdr:to>
    <xdr:cxnSp macro="">
      <xdr:nvCxnSpPr>
        <xdr:cNvPr id="62" name="Conector: angular 61">
          <a:extLst>
            <a:ext uri="{FF2B5EF4-FFF2-40B4-BE49-F238E27FC236}">
              <a16:creationId xmlns:a16="http://schemas.microsoft.com/office/drawing/2014/main" id="{A86113BC-E249-4FF5-AB7F-1D38CBB1971B}"/>
            </a:ext>
          </a:extLst>
        </xdr:cNvPr>
        <xdr:cNvCxnSpPr/>
      </xdr:nvCxnSpPr>
      <xdr:spPr>
        <a:xfrm>
          <a:off x="2385359" y="8836212"/>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160</xdr:row>
      <xdr:rowOff>5773</xdr:rowOff>
    </xdr:from>
    <xdr:to>
      <xdr:col>3</xdr:col>
      <xdr:colOff>0</xdr:colOff>
      <xdr:row>163</xdr:row>
      <xdr:rowOff>92364</xdr:rowOff>
    </xdr:to>
    <xdr:cxnSp macro="">
      <xdr:nvCxnSpPr>
        <xdr:cNvPr id="87" name="Conector: angular 86">
          <a:extLst>
            <a:ext uri="{FF2B5EF4-FFF2-40B4-BE49-F238E27FC236}">
              <a16:creationId xmlns:a16="http://schemas.microsoft.com/office/drawing/2014/main" id="{B1639129-D487-4CEA-A0C7-09E6A6FD8275}"/>
            </a:ext>
          </a:extLst>
        </xdr:cNvPr>
        <xdr:cNvCxnSpPr/>
      </xdr:nvCxnSpPr>
      <xdr:spPr>
        <a:xfrm>
          <a:off x="1670050" y="8159173"/>
          <a:ext cx="1047750" cy="639041"/>
        </a:xfrm>
        <a:prstGeom prst="bentConnector3">
          <a:avLst>
            <a:gd name="adj1" fmla="val 0"/>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155</xdr:row>
      <xdr:rowOff>88900</xdr:rowOff>
    </xdr:from>
    <xdr:to>
      <xdr:col>2</xdr:col>
      <xdr:colOff>1041400</xdr:colOff>
      <xdr:row>159</xdr:row>
      <xdr:rowOff>0</xdr:rowOff>
    </xdr:to>
    <xdr:cxnSp macro="">
      <xdr:nvCxnSpPr>
        <xdr:cNvPr id="88" name="Conector: angular 87">
          <a:extLst>
            <a:ext uri="{FF2B5EF4-FFF2-40B4-BE49-F238E27FC236}">
              <a16:creationId xmlns:a16="http://schemas.microsoft.com/office/drawing/2014/main" id="{78B76F4C-5978-4F85-A245-1A7CF16D2C56}"/>
            </a:ext>
          </a:extLst>
        </xdr:cNvPr>
        <xdr:cNvCxnSpPr/>
      </xdr:nvCxnSpPr>
      <xdr:spPr>
        <a:xfrm flipV="1">
          <a:off x="1670050" y="7308850"/>
          <a:ext cx="1041400" cy="660400"/>
        </a:xfrm>
        <a:prstGeom prst="bentConnector3">
          <a:avLst>
            <a:gd name="adj1" fmla="val 610"/>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541482</xdr:colOff>
      <xdr:row>159</xdr:row>
      <xdr:rowOff>89670</xdr:rowOff>
    </xdr:from>
    <xdr:to>
      <xdr:col>2</xdr:col>
      <xdr:colOff>998415</xdr:colOff>
      <xdr:row>159</xdr:row>
      <xdr:rowOff>94111</xdr:rowOff>
    </xdr:to>
    <xdr:cxnSp macro="">
      <xdr:nvCxnSpPr>
        <xdr:cNvPr id="89" name="Conector recto 88">
          <a:extLst>
            <a:ext uri="{FF2B5EF4-FFF2-40B4-BE49-F238E27FC236}">
              <a16:creationId xmlns:a16="http://schemas.microsoft.com/office/drawing/2014/main" id="{2F133A90-D628-4D1E-A3C4-3E709AEDB1B7}"/>
            </a:ext>
          </a:extLst>
        </xdr:cNvPr>
        <xdr:cNvCxnSpPr/>
      </xdr:nvCxnSpPr>
      <xdr:spPr>
        <a:xfrm>
          <a:off x="2226349" y="29291203"/>
          <a:ext cx="456933" cy="444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89876</xdr:colOff>
      <xdr:row>162</xdr:row>
      <xdr:rowOff>93383</xdr:rowOff>
    </xdr:from>
    <xdr:to>
      <xdr:col>3</xdr:col>
      <xdr:colOff>549088</xdr:colOff>
      <xdr:row>162</xdr:row>
      <xdr:rowOff>177800</xdr:rowOff>
    </xdr:to>
    <xdr:cxnSp macro="">
      <xdr:nvCxnSpPr>
        <xdr:cNvPr id="90" name="Conector: angular 89">
          <a:extLst>
            <a:ext uri="{FF2B5EF4-FFF2-40B4-BE49-F238E27FC236}">
              <a16:creationId xmlns:a16="http://schemas.microsoft.com/office/drawing/2014/main" id="{0533938C-E10A-4997-8F58-EE5CABE4F178}"/>
            </a:ext>
          </a:extLst>
        </xdr:cNvPr>
        <xdr:cNvCxnSpPr/>
      </xdr:nvCxnSpPr>
      <xdr:spPr>
        <a:xfrm flipV="1">
          <a:off x="2807676" y="8615083"/>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100853</xdr:colOff>
      <xdr:row>156</xdr:row>
      <xdr:rowOff>7471</xdr:rowOff>
    </xdr:from>
    <xdr:to>
      <xdr:col>3</xdr:col>
      <xdr:colOff>549088</xdr:colOff>
      <xdr:row>156</xdr:row>
      <xdr:rowOff>100853</xdr:rowOff>
    </xdr:to>
    <xdr:cxnSp macro="">
      <xdr:nvCxnSpPr>
        <xdr:cNvPr id="91" name="Conector: angular 90">
          <a:extLst>
            <a:ext uri="{FF2B5EF4-FFF2-40B4-BE49-F238E27FC236}">
              <a16:creationId xmlns:a16="http://schemas.microsoft.com/office/drawing/2014/main" id="{F2BB0A9E-AD5C-4603-8D36-E9C2BAF05BF1}"/>
            </a:ext>
          </a:extLst>
        </xdr:cNvPr>
        <xdr:cNvCxnSpPr/>
      </xdr:nvCxnSpPr>
      <xdr:spPr>
        <a:xfrm>
          <a:off x="2818653" y="7417921"/>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85912</xdr:colOff>
      <xdr:row>158</xdr:row>
      <xdr:rowOff>89648</xdr:rowOff>
    </xdr:from>
    <xdr:to>
      <xdr:col>3</xdr:col>
      <xdr:colOff>545124</xdr:colOff>
      <xdr:row>158</xdr:row>
      <xdr:rowOff>174065</xdr:rowOff>
    </xdr:to>
    <xdr:cxnSp macro="">
      <xdr:nvCxnSpPr>
        <xdr:cNvPr id="92" name="Conector: angular 91">
          <a:extLst>
            <a:ext uri="{FF2B5EF4-FFF2-40B4-BE49-F238E27FC236}">
              <a16:creationId xmlns:a16="http://schemas.microsoft.com/office/drawing/2014/main" id="{828B1DB7-A53B-4797-9A74-719DE949C5E2}"/>
            </a:ext>
          </a:extLst>
        </xdr:cNvPr>
        <xdr:cNvCxnSpPr/>
      </xdr:nvCxnSpPr>
      <xdr:spPr>
        <a:xfrm flipV="1">
          <a:off x="2803712" y="7874748"/>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88900</xdr:colOff>
      <xdr:row>154</xdr:row>
      <xdr:rowOff>85166</xdr:rowOff>
    </xdr:from>
    <xdr:to>
      <xdr:col>3</xdr:col>
      <xdr:colOff>548112</xdr:colOff>
      <xdr:row>154</xdr:row>
      <xdr:rowOff>169583</xdr:rowOff>
    </xdr:to>
    <xdr:cxnSp macro="">
      <xdr:nvCxnSpPr>
        <xdr:cNvPr id="93" name="Conector: angular 92">
          <a:extLst>
            <a:ext uri="{FF2B5EF4-FFF2-40B4-BE49-F238E27FC236}">
              <a16:creationId xmlns:a16="http://schemas.microsoft.com/office/drawing/2014/main" id="{ABDB4A5C-C471-4B07-BB33-4CD7781A89B9}"/>
            </a:ext>
          </a:extLst>
        </xdr:cNvPr>
        <xdr:cNvCxnSpPr/>
      </xdr:nvCxnSpPr>
      <xdr:spPr>
        <a:xfrm flipV="1">
          <a:off x="2806700" y="7120966"/>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100106</xdr:colOff>
      <xdr:row>160</xdr:row>
      <xdr:rowOff>6723</xdr:rowOff>
    </xdr:from>
    <xdr:to>
      <xdr:col>3</xdr:col>
      <xdr:colOff>548341</xdr:colOff>
      <xdr:row>160</xdr:row>
      <xdr:rowOff>100105</xdr:rowOff>
    </xdr:to>
    <xdr:cxnSp macro="">
      <xdr:nvCxnSpPr>
        <xdr:cNvPr id="94" name="Conector: angular 93">
          <a:extLst>
            <a:ext uri="{FF2B5EF4-FFF2-40B4-BE49-F238E27FC236}">
              <a16:creationId xmlns:a16="http://schemas.microsoft.com/office/drawing/2014/main" id="{8C550CE6-5ACA-48B6-A2B7-4C1817F87CA4}"/>
            </a:ext>
          </a:extLst>
        </xdr:cNvPr>
        <xdr:cNvCxnSpPr/>
      </xdr:nvCxnSpPr>
      <xdr:spPr>
        <a:xfrm>
          <a:off x="2817906" y="8160123"/>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99359</xdr:colOff>
      <xdr:row>164</xdr:row>
      <xdr:rowOff>5977</xdr:rowOff>
    </xdr:from>
    <xdr:to>
      <xdr:col>3</xdr:col>
      <xdr:colOff>547594</xdr:colOff>
      <xdr:row>164</xdr:row>
      <xdr:rowOff>99359</xdr:rowOff>
    </xdr:to>
    <xdr:cxnSp macro="">
      <xdr:nvCxnSpPr>
        <xdr:cNvPr id="95" name="Conector: angular 94">
          <a:extLst>
            <a:ext uri="{FF2B5EF4-FFF2-40B4-BE49-F238E27FC236}">
              <a16:creationId xmlns:a16="http://schemas.microsoft.com/office/drawing/2014/main" id="{ADBE813D-2706-4CDB-9B97-BEB55740F0C9}"/>
            </a:ext>
          </a:extLst>
        </xdr:cNvPr>
        <xdr:cNvCxnSpPr/>
      </xdr:nvCxnSpPr>
      <xdr:spPr>
        <a:xfrm>
          <a:off x="2817159" y="8895977"/>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172</xdr:row>
      <xdr:rowOff>5773</xdr:rowOff>
    </xdr:from>
    <xdr:to>
      <xdr:col>3</xdr:col>
      <xdr:colOff>0</xdr:colOff>
      <xdr:row>175</xdr:row>
      <xdr:rowOff>92364</xdr:rowOff>
    </xdr:to>
    <xdr:cxnSp macro="">
      <xdr:nvCxnSpPr>
        <xdr:cNvPr id="96" name="Conector: angular 95">
          <a:extLst>
            <a:ext uri="{FF2B5EF4-FFF2-40B4-BE49-F238E27FC236}">
              <a16:creationId xmlns:a16="http://schemas.microsoft.com/office/drawing/2014/main" id="{026AC317-1CBF-4801-9736-7C0DEB2A625F}"/>
            </a:ext>
          </a:extLst>
        </xdr:cNvPr>
        <xdr:cNvCxnSpPr/>
      </xdr:nvCxnSpPr>
      <xdr:spPr>
        <a:xfrm>
          <a:off x="1670050" y="24205623"/>
          <a:ext cx="1047750" cy="639041"/>
        </a:xfrm>
        <a:prstGeom prst="bentConnector3">
          <a:avLst>
            <a:gd name="adj1" fmla="val 0"/>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167</xdr:row>
      <xdr:rowOff>88900</xdr:rowOff>
    </xdr:from>
    <xdr:to>
      <xdr:col>2</xdr:col>
      <xdr:colOff>1041400</xdr:colOff>
      <xdr:row>171</xdr:row>
      <xdr:rowOff>0</xdr:rowOff>
    </xdr:to>
    <xdr:cxnSp macro="">
      <xdr:nvCxnSpPr>
        <xdr:cNvPr id="97" name="Conector: angular 96">
          <a:extLst>
            <a:ext uri="{FF2B5EF4-FFF2-40B4-BE49-F238E27FC236}">
              <a16:creationId xmlns:a16="http://schemas.microsoft.com/office/drawing/2014/main" id="{38859697-EA49-4452-82F4-FE103FE4858C}"/>
            </a:ext>
          </a:extLst>
        </xdr:cNvPr>
        <xdr:cNvCxnSpPr/>
      </xdr:nvCxnSpPr>
      <xdr:spPr>
        <a:xfrm flipV="1">
          <a:off x="1670050" y="23368000"/>
          <a:ext cx="1041400" cy="647700"/>
        </a:xfrm>
        <a:prstGeom prst="bentConnector3">
          <a:avLst>
            <a:gd name="adj1" fmla="val 610"/>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414482</xdr:colOff>
      <xdr:row>171</xdr:row>
      <xdr:rowOff>98136</xdr:rowOff>
    </xdr:from>
    <xdr:to>
      <xdr:col>2</xdr:col>
      <xdr:colOff>871415</xdr:colOff>
      <xdr:row>171</xdr:row>
      <xdr:rowOff>102577</xdr:rowOff>
    </xdr:to>
    <xdr:cxnSp macro="">
      <xdr:nvCxnSpPr>
        <xdr:cNvPr id="98" name="Conector recto 97">
          <a:extLst>
            <a:ext uri="{FF2B5EF4-FFF2-40B4-BE49-F238E27FC236}">
              <a16:creationId xmlns:a16="http://schemas.microsoft.com/office/drawing/2014/main" id="{F1C4BAB4-06C3-4276-81B7-56DF2591EFE7}"/>
            </a:ext>
          </a:extLst>
        </xdr:cNvPr>
        <xdr:cNvCxnSpPr/>
      </xdr:nvCxnSpPr>
      <xdr:spPr>
        <a:xfrm>
          <a:off x="2084532" y="24113836"/>
          <a:ext cx="456933" cy="444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89876</xdr:colOff>
      <xdr:row>174</xdr:row>
      <xdr:rowOff>93383</xdr:rowOff>
    </xdr:from>
    <xdr:to>
      <xdr:col>3</xdr:col>
      <xdr:colOff>549088</xdr:colOff>
      <xdr:row>174</xdr:row>
      <xdr:rowOff>177800</xdr:rowOff>
    </xdr:to>
    <xdr:cxnSp macro="">
      <xdr:nvCxnSpPr>
        <xdr:cNvPr id="99" name="Conector: angular 98">
          <a:extLst>
            <a:ext uri="{FF2B5EF4-FFF2-40B4-BE49-F238E27FC236}">
              <a16:creationId xmlns:a16="http://schemas.microsoft.com/office/drawing/2014/main" id="{070FB967-2518-4BDC-8CAE-50950544B360}"/>
            </a:ext>
          </a:extLst>
        </xdr:cNvPr>
        <xdr:cNvCxnSpPr/>
      </xdr:nvCxnSpPr>
      <xdr:spPr>
        <a:xfrm flipV="1">
          <a:off x="2807676" y="24661533"/>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100853</xdr:colOff>
      <xdr:row>168</xdr:row>
      <xdr:rowOff>7471</xdr:rowOff>
    </xdr:from>
    <xdr:to>
      <xdr:col>3</xdr:col>
      <xdr:colOff>549088</xdr:colOff>
      <xdr:row>168</xdr:row>
      <xdr:rowOff>100853</xdr:rowOff>
    </xdr:to>
    <xdr:cxnSp macro="">
      <xdr:nvCxnSpPr>
        <xdr:cNvPr id="100" name="Conector: angular 99">
          <a:extLst>
            <a:ext uri="{FF2B5EF4-FFF2-40B4-BE49-F238E27FC236}">
              <a16:creationId xmlns:a16="http://schemas.microsoft.com/office/drawing/2014/main" id="{B849824C-CF27-4498-A2A3-40AF7F0F5693}"/>
            </a:ext>
          </a:extLst>
        </xdr:cNvPr>
        <xdr:cNvCxnSpPr/>
      </xdr:nvCxnSpPr>
      <xdr:spPr>
        <a:xfrm>
          <a:off x="2818653" y="23470721"/>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85912</xdr:colOff>
      <xdr:row>170</xdr:row>
      <xdr:rowOff>89648</xdr:rowOff>
    </xdr:from>
    <xdr:to>
      <xdr:col>3</xdr:col>
      <xdr:colOff>545124</xdr:colOff>
      <xdr:row>170</xdr:row>
      <xdr:rowOff>174065</xdr:rowOff>
    </xdr:to>
    <xdr:cxnSp macro="">
      <xdr:nvCxnSpPr>
        <xdr:cNvPr id="101" name="Conector: angular 100">
          <a:extLst>
            <a:ext uri="{FF2B5EF4-FFF2-40B4-BE49-F238E27FC236}">
              <a16:creationId xmlns:a16="http://schemas.microsoft.com/office/drawing/2014/main" id="{1B8B55A8-A5CB-4111-A79B-F309D065F675}"/>
            </a:ext>
          </a:extLst>
        </xdr:cNvPr>
        <xdr:cNvCxnSpPr/>
      </xdr:nvCxnSpPr>
      <xdr:spPr>
        <a:xfrm flipV="1">
          <a:off x="2803712" y="23921198"/>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88900</xdr:colOff>
      <xdr:row>166</xdr:row>
      <xdr:rowOff>85166</xdr:rowOff>
    </xdr:from>
    <xdr:to>
      <xdr:col>3</xdr:col>
      <xdr:colOff>548112</xdr:colOff>
      <xdr:row>166</xdr:row>
      <xdr:rowOff>169583</xdr:rowOff>
    </xdr:to>
    <xdr:cxnSp macro="">
      <xdr:nvCxnSpPr>
        <xdr:cNvPr id="102" name="Conector: angular 101">
          <a:extLst>
            <a:ext uri="{FF2B5EF4-FFF2-40B4-BE49-F238E27FC236}">
              <a16:creationId xmlns:a16="http://schemas.microsoft.com/office/drawing/2014/main" id="{FD1858A1-F4AD-4C14-8001-EC5976C0B8AB}"/>
            </a:ext>
          </a:extLst>
        </xdr:cNvPr>
        <xdr:cNvCxnSpPr/>
      </xdr:nvCxnSpPr>
      <xdr:spPr>
        <a:xfrm flipV="1">
          <a:off x="2806700" y="23180116"/>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100106</xdr:colOff>
      <xdr:row>172</xdr:row>
      <xdr:rowOff>6723</xdr:rowOff>
    </xdr:from>
    <xdr:to>
      <xdr:col>3</xdr:col>
      <xdr:colOff>548341</xdr:colOff>
      <xdr:row>172</xdr:row>
      <xdr:rowOff>100105</xdr:rowOff>
    </xdr:to>
    <xdr:cxnSp macro="">
      <xdr:nvCxnSpPr>
        <xdr:cNvPr id="103" name="Conector: angular 102">
          <a:extLst>
            <a:ext uri="{FF2B5EF4-FFF2-40B4-BE49-F238E27FC236}">
              <a16:creationId xmlns:a16="http://schemas.microsoft.com/office/drawing/2014/main" id="{05E0DB7F-0A4D-4785-81B4-D1E92F697892}"/>
            </a:ext>
          </a:extLst>
        </xdr:cNvPr>
        <xdr:cNvCxnSpPr/>
      </xdr:nvCxnSpPr>
      <xdr:spPr>
        <a:xfrm>
          <a:off x="2817906" y="24206573"/>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99359</xdr:colOff>
      <xdr:row>176</xdr:row>
      <xdr:rowOff>5977</xdr:rowOff>
    </xdr:from>
    <xdr:to>
      <xdr:col>3</xdr:col>
      <xdr:colOff>547594</xdr:colOff>
      <xdr:row>176</xdr:row>
      <xdr:rowOff>99359</xdr:rowOff>
    </xdr:to>
    <xdr:cxnSp macro="">
      <xdr:nvCxnSpPr>
        <xdr:cNvPr id="104" name="Conector: angular 103">
          <a:extLst>
            <a:ext uri="{FF2B5EF4-FFF2-40B4-BE49-F238E27FC236}">
              <a16:creationId xmlns:a16="http://schemas.microsoft.com/office/drawing/2014/main" id="{772B5807-7067-413F-8007-54DCD1B6071A}"/>
            </a:ext>
          </a:extLst>
        </xdr:cNvPr>
        <xdr:cNvCxnSpPr/>
      </xdr:nvCxnSpPr>
      <xdr:spPr>
        <a:xfrm>
          <a:off x="2817159" y="24942427"/>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184</xdr:row>
      <xdr:rowOff>5773</xdr:rowOff>
    </xdr:from>
    <xdr:to>
      <xdr:col>3</xdr:col>
      <xdr:colOff>0</xdr:colOff>
      <xdr:row>187</xdr:row>
      <xdr:rowOff>92364</xdr:rowOff>
    </xdr:to>
    <xdr:cxnSp macro="">
      <xdr:nvCxnSpPr>
        <xdr:cNvPr id="105" name="Conector: angular 104">
          <a:extLst>
            <a:ext uri="{FF2B5EF4-FFF2-40B4-BE49-F238E27FC236}">
              <a16:creationId xmlns:a16="http://schemas.microsoft.com/office/drawing/2014/main" id="{6930217B-8668-4243-AEFB-C011FCF79DE3}"/>
            </a:ext>
          </a:extLst>
        </xdr:cNvPr>
        <xdr:cNvCxnSpPr/>
      </xdr:nvCxnSpPr>
      <xdr:spPr>
        <a:xfrm>
          <a:off x="1670050" y="26415423"/>
          <a:ext cx="1047750" cy="639041"/>
        </a:xfrm>
        <a:prstGeom prst="bentConnector3">
          <a:avLst>
            <a:gd name="adj1" fmla="val 0"/>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179</xdr:row>
      <xdr:rowOff>88900</xdr:rowOff>
    </xdr:from>
    <xdr:to>
      <xdr:col>2</xdr:col>
      <xdr:colOff>1041400</xdr:colOff>
      <xdr:row>183</xdr:row>
      <xdr:rowOff>0</xdr:rowOff>
    </xdr:to>
    <xdr:cxnSp macro="">
      <xdr:nvCxnSpPr>
        <xdr:cNvPr id="106" name="Conector: angular 105">
          <a:extLst>
            <a:ext uri="{FF2B5EF4-FFF2-40B4-BE49-F238E27FC236}">
              <a16:creationId xmlns:a16="http://schemas.microsoft.com/office/drawing/2014/main" id="{178B0CB0-3053-48E1-99C0-B40C16302378}"/>
            </a:ext>
          </a:extLst>
        </xdr:cNvPr>
        <xdr:cNvCxnSpPr/>
      </xdr:nvCxnSpPr>
      <xdr:spPr>
        <a:xfrm flipV="1">
          <a:off x="1670050" y="25577800"/>
          <a:ext cx="1041400" cy="647700"/>
        </a:xfrm>
        <a:prstGeom prst="bentConnector3">
          <a:avLst>
            <a:gd name="adj1" fmla="val 610"/>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503382</xdr:colOff>
      <xdr:row>183</xdr:row>
      <xdr:rowOff>98136</xdr:rowOff>
    </xdr:from>
    <xdr:to>
      <xdr:col>2</xdr:col>
      <xdr:colOff>960315</xdr:colOff>
      <xdr:row>183</xdr:row>
      <xdr:rowOff>102577</xdr:rowOff>
    </xdr:to>
    <xdr:cxnSp macro="">
      <xdr:nvCxnSpPr>
        <xdr:cNvPr id="107" name="Conector recto 106">
          <a:extLst>
            <a:ext uri="{FF2B5EF4-FFF2-40B4-BE49-F238E27FC236}">
              <a16:creationId xmlns:a16="http://schemas.microsoft.com/office/drawing/2014/main" id="{04D5AFE5-9265-41BE-B418-5273154E3FF2}"/>
            </a:ext>
          </a:extLst>
        </xdr:cNvPr>
        <xdr:cNvCxnSpPr/>
      </xdr:nvCxnSpPr>
      <xdr:spPr>
        <a:xfrm>
          <a:off x="2173432" y="28533436"/>
          <a:ext cx="456933" cy="444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89876</xdr:colOff>
      <xdr:row>186</xdr:row>
      <xdr:rowOff>93383</xdr:rowOff>
    </xdr:from>
    <xdr:to>
      <xdr:col>3</xdr:col>
      <xdr:colOff>549088</xdr:colOff>
      <xdr:row>186</xdr:row>
      <xdr:rowOff>177800</xdr:rowOff>
    </xdr:to>
    <xdr:cxnSp macro="">
      <xdr:nvCxnSpPr>
        <xdr:cNvPr id="108" name="Conector: angular 107">
          <a:extLst>
            <a:ext uri="{FF2B5EF4-FFF2-40B4-BE49-F238E27FC236}">
              <a16:creationId xmlns:a16="http://schemas.microsoft.com/office/drawing/2014/main" id="{7FAC3197-7B05-4C4D-98F8-6612472073ED}"/>
            </a:ext>
          </a:extLst>
        </xdr:cNvPr>
        <xdr:cNvCxnSpPr/>
      </xdr:nvCxnSpPr>
      <xdr:spPr>
        <a:xfrm flipV="1">
          <a:off x="2807676" y="26871333"/>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100853</xdr:colOff>
      <xdr:row>180</xdr:row>
      <xdr:rowOff>7471</xdr:rowOff>
    </xdr:from>
    <xdr:to>
      <xdr:col>3</xdr:col>
      <xdr:colOff>549088</xdr:colOff>
      <xdr:row>180</xdr:row>
      <xdr:rowOff>100853</xdr:rowOff>
    </xdr:to>
    <xdr:cxnSp macro="">
      <xdr:nvCxnSpPr>
        <xdr:cNvPr id="109" name="Conector: angular 108">
          <a:extLst>
            <a:ext uri="{FF2B5EF4-FFF2-40B4-BE49-F238E27FC236}">
              <a16:creationId xmlns:a16="http://schemas.microsoft.com/office/drawing/2014/main" id="{07FCC353-D51C-48A7-9F38-08792A73A841}"/>
            </a:ext>
          </a:extLst>
        </xdr:cNvPr>
        <xdr:cNvCxnSpPr/>
      </xdr:nvCxnSpPr>
      <xdr:spPr>
        <a:xfrm>
          <a:off x="2818653" y="25680521"/>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85912</xdr:colOff>
      <xdr:row>182</xdr:row>
      <xdr:rowOff>89648</xdr:rowOff>
    </xdr:from>
    <xdr:to>
      <xdr:col>3</xdr:col>
      <xdr:colOff>545124</xdr:colOff>
      <xdr:row>182</xdr:row>
      <xdr:rowOff>174065</xdr:rowOff>
    </xdr:to>
    <xdr:cxnSp macro="">
      <xdr:nvCxnSpPr>
        <xdr:cNvPr id="110" name="Conector: angular 109">
          <a:extLst>
            <a:ext uri="{FF2B5EF4-FFF2-40B4-BE49-F238E27FC236}">
              <a16:creationId xmlns:a16="http://schemas.microsoft.com/office/drawing/2014/main" id="{4AFF2938-58E7-4CF8-9F4F-7536DE7E8F92}"/>
            </a:ext>
          </a:extLst>
        </xdr:cNvPr>
        <xdr:cNvCxnSpPr/>
      </xdr:nvCxnSpPr>
      <xdr:spPr>
        <a:xfrm flipV="1">
          <a:off x="2803712" y="26130998"/>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88900</xdr:colOff>
      <xdr:row>178</xdr:row>
      <xdr:rowOff>85166</xdr:rowOff>
    </xdr:from>
    <xdr:to>
      <xdr:col>3</xdr:col>
      <xdr:colOff>548112</xdr:colOff>
      <xdr:row>178</xdr:row>
      <xdr:rowOff>169583</xdr:rowOff>
    </xdr:to>
    <xdr:cxnSp macro="">
      <xdr:nvCxnSpPr>
        <xdr:cNvPr id="111" name="Conector: angular 110">
          <a:extLst>
            <a:ext uri="{FF2B5EF4-FFF2-40B4-BE49-F238E27FC236}">
              <a16:creationId xmlns:a16="http://schemas.microsoft.com/office/drawing/2014/main" id="{A96580C6-43BF-413E-A022-BAD49F28FE52}"/>
            </a:ext>
          </a:extLst>
        </xdr:cNvPr>
        <xdr:cNvCxnSpPr/>
      </xdr:nvCxnSpPr>
      <xdr:spPr>
        <a:xfrm flipV="1">
          <a:off x="2806700" y="25389916"/>
          <a:ext cx="459212" cy="84417"/>
        </a:xfrm>
        <a:prstGeom prst="bentConnector3">
          <a:avLst>
            <a:gd name="adj1" fmla="val 2009"/>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100106</xdr:colOff>
      <xdr:row>184</xdr:row>
      <xdr:rowOff>6723</xdr:rowOff>
    </xdr:from>
    <xdr:to>
      <xdr:col>3</xdr:col>
      <xdr:colOff>548341</xdr:colOff>
      <xdr:row>184</xdr:row>
      <xdr:rowOff>100105</xdr:rowOff>
    </xdr:to>
    <xdr:cxnSp macro="">
      <xdr:nvCxnSpPr>
        <xdr:cNvPr id="112" name="Conector: angular 111">
          <a:extLst>
            <a:ext uri="{FF2B5EF4-FFF2-40B4-BE49-F238E27FC236}">
              <a16:creationId xmlns:a16="http://schemas.microsoft.com/office/drawing/2014/main" id="{FE9B91E5-2104-422D-8F21-FB0BC77C7C8C}"/>
            </a:ext>
          </a:extLst>
        </xdr:cNvPr>
        <xdr:cNvCxnSpPr/>
      </xdr:nvCxnSpPr>
      <xdr:spPr>
        <a:xfrm>
          <a:off x="2817906" y="26416373"/>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99359</xdr:colOff>
      <xdr:row>188</xdr:row>
      <xdr:rowOff>5977</xdr:rowOff>
    </xdr:from>
    <xdr:to>
      <xdr:col>3</xdr:col>
      <xdr:colOff>547594</xdr:colOff>
      <xdr:row>188</xdr:row>
      <xdr:rowOff>99359</xdr:rowOff>
    </xdr:to>
    <xdr:cxnSp macro="">
      <xdr:nvCxnSpPr>
        <xdr:cNvPr id="113" name="Conector: angular 112">
          <a:extLst>
            <a:ext uri="{FF2B5EF4-FFF2-40B4-BE49-F238E27FC236}">
              <a16:creationId xmlns:a16="http://schemas.microsoft.com/office/drawing/2014/main" id="{2744D36A-4F04-4F2F-BBB8-4926E7DD4D5D}"/>
            </a:ext>
          </a:extLst>
        </xdr:cNvPr>
        <xdr:cNvCxnSpPr/>
      </xdr:nvCxnSpPr>
      <xdr:spPr>
        <a:xfrm>
          <a:off x="2817159" y="27152227"/>
          <a:ext cx="448235" cy="93382"/>
        </a:xfrm>
        <a:prstGeom prst="bentConnector3">
          <a:avLst>
            <a:gd name="adj1" fmla="val -1667"/>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267610</xdr:colOff>
      <xdr:row>159</xdr:row>
      <xdr:rowOff>72571</xdr:rowOff>
    </xdr:from>
    <xdr:to>
      <xdr:col>1</xdr:col>
      <xdr:colOff>585105</xdr:colOff>
      <xdr:row>183</xdr:row>
      <xdr:rowOff>90717</xdr:rowOff>
    </xdr:to>
    <xdr:cxnSp macro="">
      <xdr:nvCxnSpPr>
        <xdr:cNvPr id="117" name="Conector: angular 116">
          <a:extLst>
            <a:ext uri="{FF2B5EF4-FFF2-40B4-BE49-F238E27FC236}">
              <a16:creationId xmlns:a16="http://schemas.microsoft.com/office/drawing/2014/main" id="{5179019D-E849-C460-9309-7D23C5D6EC92}"/>
            </a:ext>
          </a:extLst>
        </xdr:cNvPr>
        <xdr:cNvCxnSpPr/>
      </xdr:nvCxnSpPr>
      <xdr:spPr>
        <a:xfrm rot="5400000">
          <a:off x="-1052287" y="26384254"/>
          <a:ext cx="4481289" cy="317495"/>
        </a:xfrm>
        <a:prstGeom prst="bentConnector3">
          <a:avLst>
            <a:gd name="adj1" fmla="val 203"/>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258536</xdr:colOff>
      <xdr:row>183</xdr:row>
      <xdr:rowOff>99785</xdr:rowOff>
    </xdr:from>
    <xdr:to>
      <xdr:col>1</xdr:col>
      <xdr:colOff>574222</xdr:colOff>
      <xdr:row>183</xdr:row>
      <xdr:rowOff>101600</xdr:rowOff>
    </xdr:to>
    <xdr:cxnSp macro="">
      <xdr:nvCxnSpPr>
        <xdr:cNvPr id="122" name="Conector recto 121">
          <a:extLst>
            <a:ext uri="{FF2B5EF4-FFF2-40B4-BE49-F238E27FC236}">
              <a16:creationId xmlns:a16="http://schemas.microsoft.com/office/drawing/2014/main" id="{0C314098-8774-6FB5-8C1F-05DC139F1E0F}"/>
            </a:ext>
          </a:extLst>
        </xdr:cNvPr>
        <xdr:cNvCxnSpPr/>
      </xdr:nvCxnSpPr>
      <xdr:spPr>
        <a:xfrm>
          <a:off x="1020536" y="28792714"/>
          <a:ext cx="315686" cy="181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703036</xdr:colOff>
      <xdr:row>100</xdr:row>
      <xdr:rowOff>-1</xdr:rowOff>
    </xdr:from>
    <xdr:to>
      <xdr:col>12</xdr:col>
      <xdr:colOff>1111250</xdr:colOff>
      <xdr:row>111</xdr:row>
      <xdr:rowOff>92528</xdr:rowOff>
    </xdr:to>
    <xdr:graphicFrame macro="">
      <xdr:nvGraphicFramePr>
        <xdr:cNvPr id="134" name="Gráfico 133">
          <a:extLst>
            <a:ext uri="{FF2B5EF4-FFF2-40B4-BE49-F238E27FC236}">
              <a16:creationId xmlns:a16="http://schemas.microsoft.com/office/drawing/2014/main" id="{51057361-D952-CA79-6393-9FAB023F5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434340</xdr:colOff>
          <xdr:row>100</xdr:row>
          <xdr:rowOff>30480</xdr:rowOff>
        </xdr:from>
        <xdr:to>
          <xdr:col>8</xdr:col>
          <xdr:colOff>670560</xdr:colOff>
          <xdr:row>111</xdr:row>
          <xdr:rowOff>30480</xdr:rowOff>
        </xdr:to>
        <xdr:sp macro="" textlink="">
          <xdr:nvSpPr>
            <xdr:cNvPr id="1026" name="Scroll Bar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479A011-F9F6-4FFA-BAE7-6BD94BA52786}">
  <we:reference id="44446093-b465-4d6c-a6dc-5faf6de98677" version="3.0.0.4" store="EXCatalog" storeType="EXCatalog"/>
  <we:alternateReferences>
    <we:reference id="WA200005271" version="3.0.0.4" store="es-ES"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9BB7-4591-4226-A6AC-034E1D35341F}">
  <dimension ref="A2:W207"/>
  <sheetViews>
    <sheetView tabSelected="1" topLeftCell="A74" zoomScale="90" zoomScaleNormal="90" workbookViewId="0">
      <selection activeCell="S91" sqref="S91"/>
    </sheetView>
  </sheetViews>
  <sheetFormatPr baseColWidth="10" defaultColWidth="11.5546875" defaultRowHeight="14.4" x14ac:dyDescent="0.3"/>
  <cols>
    <col min="2" max="2" width="13" customWidth="1"/>
    <col min="3" max="3" width="15" customWidth="1"/>
    <col min="4" max="4" width="7.88671875" customWidth="1"/>
    <col min="6" max="6" width="16.21875" customWidth="1"/>
    <col min="7" max="7" width="10.88671875" customWidth="1"/>
    <col min="10" max="10" width="11.88671875" customWidth="1"/>
    <col min="12" max="12" width="11.5546875" bestFit="1" customWidth="1"/>
    <col min="13" max="13" width="16.44140625" bestFit="1" customWidth="1"/>
  </cols>
  <sheetData>
    <row r="2" spans="2:8" x14ac:dyDescent="0.3">
      <c r="B2" s="53" t="s">
        <v>88</v>
      </c>
      <c r="C2" s="53"/>
      <c r="D2" s="53"/>
      <c r="E2" s="53"/>
      <c r="F2" s="53"/>
      <c r="G2" s="53"/>
    </row>
    <row r="4" spans="2:8" x14ac:dyDescent="0.3">
      <c r="B4" s="45" t="s">
        <v>89</v>
      </c>
      <c r="C4" s="45"/>
      <c r="D4" s="45"/>
      <c r="E4" s="45"/>
      <c r="F4" s="45"/>
      <c r="G4" s="45"/>
      <c r="H4" s="45"/>
    </row>
    <row r="5" spans="2:8" x14ac:dyDescent="0.3">
      <c r="B5" s="45" t="s">
        <v>90</v>
      </c>
      <c r="C5" s="45"/>
      <c r="D5" s="45"/>
      <c r="E5" s="45"/>
      <c r="F5" s="45"/>
      <c r="G5" s="45"/>
      <c r="H5" s="45"/>
    </row>
    <row r="6" spans="2:8" ht="14.55" customHeight="1" x14ac:dyDescent="0.3">
      <c r="B6" s="46" t="s">
        <v>91</v>
      </c>
      <c r="C6" s="46"/>
      <c r="D6" s="46"/>
      <c r="E6" s="46"/>
      <c r="F6" s="46"/>
      <c r="G6" s="46"/>
      <c r="H6" s="46"/>
    </row>
    <row r="7" spans="2:8" x14ac:dyDescent="0.3">
      <c r="B7" s="46"/>
      <c r="C7" s="46"/>
      <c r="D7" s="46"/>
      <c r="E7" s="46"/>
      <c r="F7" s="46"/>
      <c r="G7" s="46"/>
      <c r="H7" s="46"/>
    </row>
    <row r="8" spans="2:8" x14ac:dyDescent="0.3">
      <c r="B8" s="9"/>
      <c r="C8" s="9"/>
      <c r="D8" s="9"/>
      <c r="E8" s="9"/>
      <c r="F8" s="9"/>
      <c r="G8" s="9"/>
      <c r="H8" s="9"/>
    </row>
    <row r="9" spans="2:8" x14ac:dyDescent="0.3">
      <c r="B9" s="45" t="s">
        <v>92</v>
      </c>
      <c r="C9" s="45"/>
      <c r="D9" s="45"/>
      <c r="E9" s="45"/>
      <c r="F9" s="45"/>
      <c r="G9" s="45"/>
      <c r="H9" s="45"/>
    </row>
    <row r="10" spans="2:8" x14ac:dyDescent="0.3">
      <c r="B10" s="45" t="s">
        <v>130</v>
      </c>
      <c r="C10" s="45"/>
      <c r="D10" s="45"/>
      <c r="E10" s="45"/>
      <c r="F10" s="45"/>
      <c r="G10" s="45"/>
      <c r="H10" s="45"/>
    </row>
    <row r="11" spans="2:8" x14ac:dyDescent="0.3">
      <c r="B11" s="9"/>
      <c r="C11" s="9"/>
      <c r="D11" s="9"/>
      <c r="E11" s="9"/>
      <c r="F11" s="9"/>
      <c r="G11" s="9"/>
      <c r="H11" s="9"/>
    </row>
    <row r="12" spans="2:8" x14ac:dyDescent="0.3">
      <c r="B12" s="46" t="s">
        <v>125</v>
      </c>
      <c r="C12" s="46"/>
      <c r="D12" s="46"/>
      <c r="E12" s="46"/>
      <c r="F12" s="46"/>
      <c r="G12" s="46"/>
      <c r="H12" s="46"/>
    </row>
    <row r="13" spans="2:8" x14ac:dyDescent="0.3">
      <c r="B13" s="46"/>
      <c r="C13" s="46"/>
      <c r="D13" s="46"/>
      <c r="E13" s="46"/>
      <c r="F13" s="46"/>
      <c r="G13" s="46"/>
      <c r="H13" s="46"/>
    </row>
    <row r="14" spans="2:8" x14ac:dyDescent="0.3">
      <c r="B14" s="46"/>
      <c r="C14" s="46"/>
      <c r="D14" s="46"/>
      <c r="E14" s="46"/>
      <c r="F14" s="46"/>
      <c r="G14" s="46"/>
      <c r="H14" s="46"/>
    </row>
    <row r="15" spans="2:8" x14ac:dyDescent="0.3">
      <c r="B15" s="9"/>
      <c r="C15" s="9"/>
      <c r="D15" s="9"/>
      <c r="E15" s="9"/>
      <c r="F15" s="9"/>
      <c r="G15" s="9"/>
      <c r="H15" s="9"/>
    </row>
    <row r="16" spans="2:8" ht="14.55" customHeight="1" x14ac:dyDescent="0.3">
      <c r="B16" s="46" t="s">
        <v>93</v>
      </c>
      <c r="C16" s="46"/>
      <c r="D16" s="46"/>
      <c r="E16" s="46"/>
      <c r="F16" s="46"/>
      <c r="G16" s="46"/>
      <c r="H16" s="46"/>
    </row>
    <row r="17" spans="2:8" x14ac:dyDescent="0.3">
      <c r="B17" s="46"/>
      <c r="C17" s="46"/>
      <c r="D17" s="46"/>
      <c r="E17" s="46"/>
      <c r="F17" s="46"/>
      <c r="G17" s="46"/>
      <c r="H17" s="46"/>
    </row>
    <row r="18" spans="2:8" x14ac:dyDescent="0.3">
      <c r="B18" s="46"/>
      <c r="C18" s="46"/>
      <c r="D18" s="46"/>
      <c r="E18" s="46"/>
      <c r="F18" s="46"/>
      <c r="G18" s="46"/>
      <c r="H18" s="46"/>
    </row>
    <row r="19" spans="2:8" x14ac:dyDescent="0.3">
      <c r="B19" s="24"/>
      <c r="C19" s="24"/>
      <c r="D19" s="24"/>
      <c r="E19" s="24"/>
      <c r="F19" s="24"/>
      <c r="G19" s="24"/>
      <c r="H19" s="24"/>
    </row>
    <row r="20" spans="2:8" x14ac:dyDescent="0.3">
      <c r="B20" s="24"/>
      <c r="C20" s="24"/>
      <c r="D20" s="24"/>
      <c r="E20" s="24"/>
      <c r="F20" s="24"/>
      <c r="G20" s="24"/>
      <c r="H20" s="24"/>
    </row>
    <row r="21" spans="2:8" x14ac:dyDescent="0.3">
      <c r="B21" s="42" t="s">
        <v>94</v>
      </c>
      <c r="C21" s="42"/>
      <c r="D21" s="42"/>
      <c r="E21" s="42"/>
      <c r="F21" s="42"/>
      <c r="G21" s="42"/>
      <c r="H21" s="42"/>
    </row>
    <row r="22" spans="2:8" x14ac:dyDescent="0.3">
      <c r="B22" s="29"/>
      <c r="C22" s="29"/>
      <c r="D22" s="29"/>
      <c r="E22" s="29"/>
      <c r="F22" s="29"/>
      <c r="G22" s="29"/>
      <c r="H22" s="29"/>
    </row>
    <row r="23" spans="2:8" x14ac:dyDescent="0.3">
      <c r="B23" s="9" t="s">
        <v>107</v>
      </c>
    </row>
    <row r="25" spans="2:8" x14ac:dyDescent="0.3">
      <c r="D25" t="s">
        <v>124</v>
      </c>
      <c r="F25" s="47" t="s">
        <v>76</v>
      </c>
      <c r="G25" s="47"/>
      <c r="H25" s="47"/>
    </row>
    <row r="26" spans="2:8" x14ac:dyDescent="0.3">
      <c r="B26" s="9" t="s">
        <v>6</v>
      </c>
      <c r="C26" t="s">
        <v>13</v>
      </c>
      <c r="D26">
        <v>100</v>
      </c>
    </row>
    <row r="27" spans="2:8" x14ac:dyDescent="0.3">
      <c r="B27" s="9" t="s">
        <v>7</v>
      </c>
      <c r="C27" t="s">
        <v>14</v>
      </c>
      <c r="D27">
        <v>400</v>
      </c>
      <c r="F27" s="3" t="s">
        <v>0</v>
      </c>
      <c r="G27" s="3" t="s">
        <v>1</v>
      </c>
      <c r="H27" s="3" t="s">
        <v>2</v>
      </c>
    </row>
    <row r="28" spans="2:8" x14ac:dyDescent="0.3">
      <c r="B28" s="9" t="s">
        <v>8</v>
      </c>
      <c r="C28">
        <v>100</v>
      </c>
      <c r="D28" t="s">
        <v>15</v>
      </c>
      <c r="F28" s="3" t="s">
        <v>3</v>
      </c>
      <c r="G28" s="2">
        <f>MIN(C28,$D$27)*$C$33-C28*$C$34</f>
        <v>200</v>
      </c>
      <c r="H28" s="2">
        <f>MIN(C28,$D$27)*$C$33-C28*$C$34</f>
        <v>200</v>
      </c>
    </row>
    <row r="29" spans="2:8" x14ac:dyDescent="0.3">
      <c r="B29" s="9" t="s">
        <v>9</v>
      </c>
      <c r="C29">
        <v>250</v>
      </c>
      <c r="D29" t="s">
        <v>15</v>
      </c>
      <c r="F29" s="3" t="s">
        <v>4</v>
      </c>
      <c r="G29" s="2">
        <f>MIN(C29,$D$26)*$C$33-C29*$C$34</f>
        <v>-250</v>
      </c>
      <c r="H29" s="2">
        <f>MIN(C29,$D$27)*$C$33-C29*$C$34</f>
        <v>500</v>
      </c>
    </row>
    <row r="30" spans="2:8" x14ac:dyDescent="0.3">
      <c r="B30" s="9" t="s">
        <v>10</v>
      </c>
      <c r="C30">
        <v>400</v>
      </c>
      <c r="D30" t="s">
        <v>15</v>
      </c>
      <c r="F30" s="3" t="s">
        <v>5</v>
      </c>
      <c r="G30" s="2">
        <f>MIN(C30,$D$26)*$C$33-C30*$C$34</f>
        <v>-700</v>
      </c>
      <c r="H30" s="2">
        <f>MIN(C30,$D$27)*$C$33-C30*$C$34</f>
        <v>800</v>
      </c>
    </row>
    <row r="31" spans="2:8" x14ac:dyDescent="0.3">
      <c r="B31" s="9" t="s">
        <v>11</v>
      </c>
      <c r="C31" s="1">
        <v>0.3</v>
      </c>
    </row>
    <row r="32" spans="2:8" x14ac:dyDescent="0.3">
      <c r="B32" s="9" t="s">
        <v>12</v>
      </c>
      <c r="C32" s="1">
        <v>0.7</v>
      </c>
    </row>
    <row r="33" spans="1:12" x14ac:dyDescent="0.3">
      <c r="B33" s="9" t="s">
        <v>98</v>
      </c>
      <c r="C33">
        <v>5</v>
      </c>
    </row>
    <row r="34" spans="1:12" x14ac:dyDescent="0.3">
      <c r="B34" s="9" t="s">
        <v>99</v>
      </c>
      <c r="C34">
        <v>3</v>
      </c>
    </row>
    <row r="35" spans="1:12" x14ac:dyDescent="0.3">
      <c r="B35" s="9" t="s">
        <v>100</v>
      </c>
      <c r="C35">
        <f>C33-C34</f>
        <v>2</v>
      </c>
    </row>
    <row r="37" spans="1:12" x14ac:dyDescent="0.3">
      <c r="B37" s="43" t="s">
        <v>95</v>
      </c>
      <c r="C37" s="43"/>
      <c r="D37" s="43"/>
      <c r="E37" s="43"/>
      <c r="F37" s="43"/>
      <c r="G37" s="43"/>
      <c r="H37" s="43"/>
    </row>
    <row r="39" spans="1:12" x14ac:dyDescent="0.3">
      <c r="B39" s="9" t="s">
        <v>16</v>
      </c>
    </row>
    <row r="41" spans="1:12" ht="15" thickBot="1" x14ac:dyDescent="0.35">
      <c r="B41" s="11" t="s">
        <v>1</v>
      </c>
      <c r="C41" s="11" t="s">
        <v>2</v>
      </c>
    </row>
    <row r="42" spans="1:12" ht="15" thickBot="1" x14ac:dyDescent="0.35">
      <c r="A42" t="s">
        <v>126</v>
      </c>
      <c r="B42" s="6">
        <f>MAX(G28:G30)</f>
        <v>200</v>
      </c>
      <c r="C42" s="6">
        <f>MAX(H28:H30)</f>
        <v>800</v>
      </c>
      <c r="D42" s="7" t="s">
        <v>17</v>
      </c>
      <c r="E42" s="8">
        <f>MAX(B42:C42)</f>
        <v>800</v>
      </c>
      <c r="F42" s="4" t="s">
        <v>18</v>
      </c>
      <c r="G42" s="11" t="str">
        <f>IF(E42=C42,_xlfn.XLOOKUP(E42,$H$28:$H$30,$F$28:$F$30),_xlfn.XLOOKUP(E42,$G$28:$G$30,$F$28:$F$30))</f>
        <v>d3</v>
      </c>
      <c r="H42" s="54" t="s">
        <v>101</v>
      </c>
      <c r="I42" s="54"/>
      <c r="J42" s="54"/>
      <c r="K42" s="54"/>
      <c r="L42" s="54"/>
    </row>
    <row r="43" spans="1:12" x14ac:dyDescent="0.3">
      <c r="D43" s="6"/>
      <c r="H43" s="54"/>
      <c r="I43" s="54"/>
      <c r="J43" s="54"/>
      <c r="K43" s="54"/>
      <c r="L43" s="54"/>
    </row>
    <row r="44" spans="1:12" x14ac:dyDescent="0.3">
      <c r="B44" s="9" t="s">
        <v>19</v>
      </c>
    </row>
    <row r="46" spans="1:12" ht="15" thickBot="1" x14ac:dyDescent="0.35">
      <c r="B46" s="11" t="s">
        <v>1</v>
      </c>
      <c r="C46" s="11" t="s">
        <v>2</v>
      </c>
    </row>
    <row r="47" spans="1:12" ht="15" thickBot="1" x14ac:dyDescent="0.35">
      <c r="A47" t="s">
        <v>127</v>
      </c>
      <c r="B47">
        <f>MIN(G28:G30)</f>
        <v>-700</v>
      </c>
      <c r="C47">
        <f>MIN(H28:H30)</f>
        <v>200</v>
      </c>
      <c r="D47" s="7" t="s">
        <v>17</v>
      </c>
      <c r="E47" s="8">
        <f>MAX(B47:C47)</f>
        <v>200</v>
      </c>
      <c r="F47" s="4" t="s">
        <v>18</v>
      </c>
      <c r="G47" s="11" t="str">
        <f>IF(E47=C47,_xlfn.XLOOKUP(E47,$H$28:$H$30,$F$28:$F$30),_xlfn.XLOOKUP(E47,$G$28:$G$30,$F$28:$F$30))</f>
        <v>d1</v>
      </c>
      <c r="H47" s="54" t="s">
        <v>102</v>
      </c>
      <c r="I47" s="54"/>
      <c r="J47" s="54"/>
      <c r="K47" s="54"/>
      <c r="L47" s="54"/>
    </row>
    <row r="48" spans="1:12" x14ac:dyDescent="0.3">
      <c r="H48" s="54"/>
      <c r="I48" s="54"/>
      <c r="J48" s="54"/>
      <c r="K48" s="54"/>
      <c r="L48" s="54"/>
    </row>
    <row r="49" spans="2:19" x14ac:dyDescent="0.3">
      <c r="B49" s="9" t="s">
        <v>20</v>
      </c>
    </row>
    <row r="51" spans="2:19" ht="15" thickBot="1" x14ac:dyDescent="0.35">
      <c r="B51" s="11" t="s">
        <v>1</v>
      </c>
      <c r="C51" s="11" t="s">
        <v>2</v>
      </c>
      <c r="E51" s="4">
        <f>$B$52-G28</f>
        <v>0</v>
      </c>
      <c r="F51">
        <f>$C$52-H28</f>
        <v>600</v>
      </c>
      <c r="I51">
        <f>MAX(E51:F51)</f>
        <v>600</v>
      </c>
    </row>
    <row r="52" spans="2:19" ht="15" thickBot="1" x14ac:dyDescent="0.35">
      <c r="B52" s="6">
        <f>MAX(G28:G30)</f>
        <v>200</v>
      </c>
      <c r="C52" s="6">
        <f>MAX(H28:H30)</f>
        <v>800</v>
      </c>
      <c r="D52" s="4" t="s">
        <v>17</v>
      </c>
      <c r="E52" s="4">
        <f>$B$52-G29</f>
        <v>450</v>
      </c>
      <c r="F52">
        <f>$C$52-H29</f>
        <v>300</v>
      </c>
      <c r="G52" s="52" t="s">
        <v>21</v>
      </c>
      <c r="H52" s="52"/>
      <c r="I52">
        <f>MAX(E52:F52)</f>
        <v>450</v>
      </c>
      <c r="J52" s="52" t="s">
        <v>22</v>
      </c>
      <c r="K52" s="52"/>
      <c r="L52" s="8">
        <f>MIN(I51:I53)</f>
        <v>450</v>
      </c>
      <c r="M52" s="4" t="s">
        <v>18</v>
      </c>
      <c r="N52" s="9" t="str">
        <f>_xlfn.XLOOKUP(L52,I51:I53,F28:F30)</f>
        <v>d2</v>
      </c>
      <c r="O52" s="54" t="s">
        <v>103</v>
      </c>
      <c r="P52" s="54"/>
      <c r="Q52" s="54"/>
      <c r="R52" s="54"/>
      <c r="S52" s="54"/>
    </row>
    <row r="53" spans="2:19" x14ac:dyDescent="0.3">
      <c r="E53" s="4">
        <f>$B$52-G30</f>
        <v>900</v>
      </c>
      <c r="F53">
        <f>$C$52-H30</f>
        <v>0</v>
      </c>
      <c r="I53">
        <f>MAX(E53:F53)</f>
        <v>900</v>
      </c>
      <c r="O53" s="54"/>
      <c r="P53" s="54"/>
      <c r="Q53" s="54"/>
      <c r="R53" s="54"/>
      <c r="S53" s="54"/>
    </row>
    <row r="54" spans="2:19" x14ac:dyDescent="0.3">
      <c r="E54" s="4"/>
      <c r="O54" s="30"/>
      <c r="P54" s="30"/>
      <c r="Q54" s="30"/>
      <c r="R54" s="30"/>
      <c r="S54" s="30"/>
    </row>
    <row r="56" spans="2:19" x14ac:dyDescent="0.3">
      <c r="B56" t="s">
        <v>118</v>
      </c>
      <c r="F56" t="str">
        <f>G42</f>
        <v>d3</v>
      </c>
    </row>
    <row r="57" spans="2:19" x14ac:dyDescent="0.3">
      <c r="B57" t="s">
        <v>23</v>
      </c>
      <c r="F57" t="str">
        <f>G47</f>
        <v>d1</v>
      </c>
    </row>
    <row r="58" spans="2:19" x14ac:dyDescent="0.3">
      <c r="B58" t="s">
        <v>24</v>
      </c>
      <c r="F58" t="str">
        <f>N52</f>
        <v>d2</v>
      </c>
    </row>
    <row r="59" spans="2:19" ht="15" thickBot="1" x14ac:dyDescent="0.35"/>
    <row r="60" spans="2:19" x14ac:dyDescent="0.3">
      <c r="B60" s="31" t="s">
        <v>119</v>
      </c>
      <c r="C60" s="32"/>
      <c r="D60" s="32"/>
      <c r="E60" s="32"/>
      <c r="F60" s="33"/>
    </row>
    <row r="61" spans="2:19" ht="15" thickBot="1" x14ac:dyDescent="0.35">
      <c r="B61" s="34" t="s">
        <v>25</v>
      </c>
      <c r="C61" s="35"/>
      <c r="D61" s="35"/>
      <c r="E61" s="35"/>
      <c r="F61" s="36"/>
    </row>
    <row r="64" spans="2:19" x14ac:dyDescent="0.3">
      <c r="B64" s="47" t="s">
        <v>26</v>
      </c>
      <c r="C64" s="47"/>
      <c r="D64" s="47"/>
      <c r="E64" s="47"/>
      <c r="F64" s="47"/>
      <c r="G64" s="47"/>
    </row>
    <row r="65" spans="2:19" x14ac:dyDescent="0.3">
      <c r="G65" s="43" t="s">
        <v>30</v>
      </c>
      <c r="H65" s="43"/>
      <c r="I65" s="43"/>
    </row>
    <row r="66" spans="2:19" x14ac:dyDescent="0.3">
      <c r="E66" t="s">
        <v>27</v>
      </c>
      <c r="F66" s="5">
        <f>$G$28</f>
        <v>200</v>
      </c>
    </row>
    <row r="67" spans="2:19" ht="15" thickBot="1" x14ac:dyDescent="0.35">
      <c r="D67" t="s">
        <v>3</v>
      </c>
      <c r="G67" s="22" t="s">
        <v>31</v>
      </c>
      <c r="H67">
        <f>$C$31*F66+$C$32*F68</f>
        <v>200</v>
      </c>
    </row>
    <row r="68" spans="2:19" ht="15" thickBot="1" x14ac:dyDescent="0.35">
      <c r="E68" t="s">
        <v>28</v>
      </c>
      <c r="F68" s="5">
        <f>$H$28</f>
        <v>200</v>
      </c>
      <c r="G68" s="9"/>
      <c r="J68" t="s">
        <v>34</v>
      </c>
      <c r="L68" s="12">
        <f>MAX(H67:H75)</f>
        <v>350</v>
      </c>
      <c r="M68" s="11" t="str">
        <f>_xlfn.XLOOKUP(L68,H67:H75,D67:D75)</f>
        <v>d3</v>
      </c>
      <c r="N68" s="54" t="s">
        <v>104</v>
      </c>
      <c r="O68" s="54"/>
      <c r="P68" s="54"/>
      <c r="Q68" s="54"/>
      <c r="R68" s="54"/>
      <c r="S68" s="54"/>
    </row>
    <row r="69" spans="2:19" x14ac:dyDescent="0.3">
      <c r="G69" s="9"/>
      <c r="N69" s="54"/>
      <c r="O69" s="54"/>
      <c r="P69" s="54"/>
      <c r="Q69" s="54"/>
      <c r="R69" s="54"/>
      <c r="S69" s="54"/>
    </row>
    <row r="70" spans="2:19" ht="14.55" customHeight="1" x14ac:dyDescent="0.3">
      <c r="E70" t="s">
        <v>27</v>
      </c>
      <c r="F70" s="5">
        <f>$G$29</f>
        <v>-250</v>
      </c>
      <c r="G70" s="9"/>
      <c r="J70" s="48" t="s">
        <v>120</v>
      </c>
      <c r="K70" s="48"/>
      <c r="L70" s="48"/>
      <c r="M70" s="48"/>
      <c r="N70" s="54"/>
      <c r="O70" s="54"/>
      <c r="P70" s="54"/>
      <c r="Q70" s="54"/>
      <c r="R70" s="54"/>
      <c r="S70" s="54"/>
    </row>
    <row r="71" spans="2:19" x14ac:dyDescent="0.3">
      <c r="B71" s="50" t="s">
        <v>29</v>
      </c>
      <c r="C71" s="50"/>
      <c r="D71" t="s">
        <v>4</v>
      </c>
      <c r="G71" s="22" t="s">
        <v>32</v>
      </c>
      <c r="H71">
        <f>$C$31*F70+$C$32*F72</f>
        <v>275</v>
      </c>
      <c r="J71" s="48"/>
      <c r="K71" s="48"/>
      <c r="L71" s="48"/>
      <c r="M71" s="48"/>
    </row>
    <row r="72" spans="2:19" x14ac:dyDescent="0.3">
      <c r="E72" t="s">
        <v>28</v>
      </c>
      <c r="F72" s="5">
        <f>$H$29</f>
        <v>500</v>
      </c>
      <c r="G72" s="9"/>
      <c r="J72" s="48"/>
      <c r="K72" s="48"/>
      <c r="L72" s="48"/>
      <c r="M72" s="48"/>
    </row>
    <row r="73" spans="2:19" x14ac:dyDescent="0.3">
      <c r="G73" s="9"/>
    </row>
    <row r="74" spans="2:19" x14ac:dyDescent="0.3">
      <c r="E74" t="s">
        <v>27</v>
      </c>
      <c r="F74" s="5">
        <f>$G$30</f>
        <v>-700</v>
      </c>
      <c r="G74" s="9"/>
    </row>
    <row r="75" spans="2:19" x14ac:dyDescent="0.3">
      <c r="D75" t="s">
        <v>5</v>
      </c>
      <c r="G75" s="22" t="s">
        <v>33</v>
      </c>
      <c r="H75">
        <f>$C$31*F74+$C$32*F76</f>
        <v>350</v>
      </c>
    </row>
    <row r="76" spans="2:19" x14ac:dyDescent="0.3">
      <c r="E76" t="s">
        <v>28</v>
      </c>
      <c r="F76" s="5">
        <f>$H$30</f>
        <v>800</v>
      </c>
    </row>
    <row r="79" spans="2:19" x14ac:dyDescent="0.3">
      <c r="B79" s="43" t="s">
        <v>35</v>
      </c>
      <c r="C79" s="43"/>
    </row>
    <row r="80" spans="2:19" ht="15" thickBot="1" x14ac:dyDescent="0.35">
      <c r="K80" s="9"/>
    </row>
    <row r="81" spans="2:23" ht="15" thickBot="1" x14ac:dyDescent="0.35">
      <c r="B81" s="9" t="s">
        <v>11</v>
      </c>
      <c r="C81" s="1">
        <f>1-C82</f>
        <v>0.7</v>
      </c>
      <c r="F81" s="48" t="s">
        <v>39</v>
      </c>
      <c r="G81" s="48"/>
      <c r="H81" s="12">
        <f>MAX(C84:C88)</f>
        <v>200</v>
      </c>
    </row>
    <row r="82" spans="2:23" x14ac:dyDescent="0.3">
      <c r="B82" s="9" t="s">
        <v>12</v>
      </c>
      <c r="C82" s="1">
        <f>G110/100</f>
        <v>0.3</v>
      </c>
      <c r="F82" s="48"/>
      <c r="G82" s="48"/>
    </row>
    <row r="83" spans="2:23" ht="14.55" customHeight="1" x14ac:dyDescent="0.3">
      <c r="B83" s="9"/>
      <c r="G83" s="23"/>
    </row>
    <row r="84" spans="2:23" ht="14.4" customHeight="1" x14ac:dyDescent="0.3">
      <c r="B84" s="9" t="s">
        <v>36</v>
      </c>
      <c r="C84">
        <f>$C$81*G28+$C$82*H28</f>
        <v>200</v>
      </c>
      <c r="F84" s="59" t="s">
        <v>131</v>
      </c>
      <c r="G84" s="59"/>
      <c r="H84" s="59"/>
      <c r="I84" s="59"/>
      <c r="J84" s="59"/>
      <c r="K84" s="59"/>
      <c r="L84" s="59"/>
      <c r="M84" s="59"/>
      <c r="N84" s="60"/>
      <c r="O84" s="61" t="s">
        <v>132</v>
      </c>
      <c r="P84" s="61"/>
      <c r="Q84" s="61"/>
      <c r="R84" s="61"/>
      <c r="S84" s="61"/>
      <c r="T84" s="62"/>
      <c r="U84" s="62"/>
      <c r="V84" s="23"/>
      <c r="W84" s="23"/>
    </row>
    <row r="85" spans="2:23" x14ac:dyDescent="0.3">
      <c r="B85" s="9"/>
      <c r="F85" s="59"/>
      <c r="G85" s="59"/>
      <c r="H85" s="59"/>
      <c r="I85" s="59"/>
      <c r="J85" s="59"/>
      <c r="K85" s="59"/>
      <c r="L85" s="59"/>
      <c r="M85" s="59"/>
      <c r="N85" s="60"/>
      <c r="O85" s="61"/>
      <c r="P85" s="61"/>
      <c r="Q85" s="61"/>
      <c r="R85" s="61"/>
      <c r="S85" s="61"/>
      <c r="T85" s="62"/>
      <c r="U85" s="62"/>
      <c r="V85" s="23"/>
      <c r="W85" s="23"/>
    </row>
    <row r="86" spans="2:23" x14ac:dyDescent="0.3">
      <c r="B86" s="9" t="s">
        <v>37</v>
      </c>
      <c r="C86">
        <f>$C$81*G29+$C$82*H29</f>
        <v>-25</v>
      </c>
      <c r="F86" s="59"/>
      <c r="G86" s="59"/>
      <c r="H86" s="59"/>
      <c r="I86" s="59"/>
      <c r="J86" s="59"/>
      <c r="K86" s="59"/>
      <c r="L86" s="59"/>
      <c r="M86" s="59"/>
      <c r="N86" s="60"/>
      <c r="O86" s="61"/>
      <c r="P86" s="61"/>
      <c r="Q86" s="61"/>
      <c r="R86" s="61"/>
      <c r="S86" s="61"/>
      <c r="T86" s="62"/>
      <c r="U86" s="62"/>
      <c r="V86" s="23"/>
      <c r="W86" s="23"/>
    </row>
    <row r="87" spans="2:23" x14ac:dyDescent="0.3">
      <c r="B87" s="9"/>
      <c r="F87" s="59"/>
      <c r="G87" s="59"/>
      <c r="H87" s="59"/>
      <c r="I87" s="59"/>
      <c r="J87" s="59"/>
      <c r="K87" s="59"/>
      <c r="L87" s="59"/>
      <c r="M87" s="59"/>
      <c r="N87" s="60"/>
      <c r="O87" s="61"/>
      <c r="P87" s="61"/>
      <c r="Q87" s="61"/>
      <c r="R87" s="61"/>
      <c r="S87" s="61"/>
      <c r="T87" s="62"/>
      <c r="U87" s="62"/>
      <c r="V87" s="23"/>
      <c r="W87" s="23"/>
    </row>
    <row r="88" spans="2:23" ht="14.55" customHeight="1" x14ac:dyDescent="0.3">
      <c r="B88" s="9" t="s">
        <v>38</v>
      </c>
      <c r="C88">
        <f>$C$81*G30+$C$82*H30</f>
        <v>-249.99999999999994</v>
      </c>
      <c r="F88" s="59"/>
      <c r="G88" s="59"/>
      <c r="H88" s="59"/>
      <c r="I88" s="59"/>
      <c r="J88" s="59"/>
      <c r="K88" s="59"/>
      <c r="L88" s="59"/>
      <c r="M88" s="59"/>
      <c r="N88" s="60"/>
      <c r="O88" s="61"/>
      <c r="P88" s="61"/>
      <c r="Q88" s="61"/>
      <c r="R88" s="61"/>
      <c r="S88" s="61"/>
      <c r="T88" s="62"/>
      <c r="U88" s="62"/>
      <c r="V88" s="23"/>
      <c r="W88" s="23"/>
    </row>
    <row r="89" spans="2:23" x14ac:dyDescent="0.3">
      <c r="F89" s="59"/>
      <c r="G89" s="59"/>
      <c r="H89" s="59"/>
      <c r="I89" s="59"/>
      <c r="J89" s="59"/>
      <c r="K89" s="59"/>
      <c r="L89" s="59"/>
      <c r="M89" s="59"/>
      <c r="N89" s="60"/>
      <c r="O89" s="61"/>
      <c r="P89" s="61"/>
      <c r="Q89" s="61"/>
      <c r="R89" s="61"/>
      <c r="S89" s="61"/>
      <c r="T89" s="62"/>
      <c r="U89" s="62"/>
      <c r="V89" s="23"/>
      <c r="W89" s="23"/>
    </row>
    <row r="90" spans="2:23" x14ac:dyDescent="0.3">
      <c r="F90" s="59"/>
      <c r="G90" s="59"/>
      <c r="H90" s="59"/>
      <c r="I90" s="59"/>
      <c r="J90" s="59"/>
      <c r="K90" s="59"/>
      <c r="L90" s="59"/>
      <c r="M90" s="59"/>
      <c r="N90" s="60"/>
      <c r="O90" s="61"/>
      <c r="P90" s="61"/>
      <c r="Q90" s="61"/>
      <c r="R90" s="61"/>
      <c r="S90" s="61"/>
    </row>
    <row r="91" spans="2:23" x14ac:dyDescent="0.3">
      <c r="B91" s="9" t="s">
        <v>40</v>
      </c>
    </row>
    <row r="92" spans="2:23" x14ac:dyDescent="0.3">
      <c r="G92" t="s">
        <v>46</v>
      </c>
    </row>
    <row r="93" spans="2:23" x14ac:dyDescent="0.3">
      <c r="B93" s="6" t="s">
        <v>116</v>
      </c>
      <c r="C93" s="5" t="s">
        <v>41</v>
      </c>
      <c r="D93" s="10" t="s">
        <v>48</v>
      </c>
      <c r="E93">
        <v>0</v>
      </c>
    </row>
    <row r="94" spans="2:23" x14ac:dyDescent="0.3">
      <c r="B94" s="6" t="s">
        <v>117</v>
      </c>
      <c r="C94" s="5" t="s">
        <v>43</v>
      </c>
      <c r="D94" s="10" t="s">
        <v>48</v>
      </c>
      <c r="E94">
        <v>1</v>
      </c>
      <c r="G94" s="47" t="s">
        <v>47</v>
      </c>
      <c r="H94" s="50"/>
      <c r="J94" s="25" t="s">
        <v>105</v>
      </c>
    </row>
    <row r="95" spans="2:23" x14ac:dyDescent="0.3">
      <c r="G95" s="6"/>
      <c r="H95" s="6"/>
      <c r="J95" s="6"/>
      <c r="K95" s="6"/>
    </row>
    <row r="96" spans="2:23" x14ac:dyDescent="0.3">
      <c r="B96" s="37" t="s">
        <v>42</v>
      </c>
      <c r="G96" s="39" t="s">
        <v>48</v>
      </c>
      <c r="H96" s="26">
        <f>(H29-H28)/(G28-H28+H29-G29)</f>
        <v>0.4</v>
      </c>
      <c r="I96" s="7"/>
      <c r="J96" s="6"/>
      <c r="K96" s="6"/>
      <c r="M96" s="14"/>
    </row>
    <row r="97" spans="2:13" x14ac:dyDescent="0.3">
      <c r="B97" t="s">
        <v>36</v>
      </c>
      <c r="C97" t="str">
        <f>"("&amp;TEXT(G28,"#.##0")&amp;")*("&amp;TEXT($C$93,"0%")&amp;") + ("&amp;TEXT(H28,"#.##0")&amp;")*("&amp;TEXT($C$94,"0%")&amp;")"</f>
        <v>(200)*(P) + (200)*(1-P)</v>
      </c>
      <c r="G97" s="21"/>
      <c r="H97" s="27"/>
      <c r="I97" s="6"/>
      <c r="J97" s="5" t="s">
        <v>106</v>
      </c>
      <c r="K97" s="6"/>
      <c r="M97" s="15"/>
    </row>
    <row r="98" spans="2:13" x14ac:dyDescent="0.3">
      <c r="C98" t="s">
        <v>44</v>
      </c>
      <c r="D98">
        <f>$G$28*E93 + (1-E93)*$H$28</f>
        <v>200</v>
      </c>
      <c r="G98" s="51" t="s">
        <v>49</v>
      </c>
      <c r="H98" s="51"/>
      <c r="I98" s="6"/>
      <c r="M98" s="15"/>
    </row>
    <row r="99" spans="2:13" x14ac:dyDescent="0.3">
      <c r="C99" t="s">
        <v>45</v>
      </c>
      <c r="D99">
        <f>$G$28*E94 + (1-E94)*$H$28</f>
        <v>200</v>
      </c>
      <c r="G99" s="21"/>
      <c r="H99" s="27"/>
      <c r="I99" s="6"/>
      <c r="J99" s="5" t="s">
        <v>77</v>
      </c>
      <c r="K99" s="6"/>
      <c r="M99" s="15"/>
    </row>
    <row r="100" spans="2:13" x14ac:dyDescent="0.3">
      <c r="G100" s="39" t="s">
        <v>48</v>
      </c>
      <c r="H100" s="26">
        <f>(H30-H28)/(G28-H28+H30-G30)</f>
        <v>0.4</v>
      </c>
      <c r="I100" s="6"/>
      <c r="J100" s="6"/>
      <c r="K100" s="6"/>
      <c r="M100" s="15"/>
    </row>
    <row r="101" spans="2:13" x14ac:dyDescent="0.3">
      <c r="B101" s="37" t="s">
        <v>114</v>
      </c>
      <c r="G101" s="21"/>
      <c r="H101" s="27"/>
      <c r="I101" s="6"/>
      <c r="J101" s="6"/>
      <c r="K101" s="6"/>
      <c r="M101" s="15"/>
    </row>
    <row r="102" spans="2:13" x14ac:dyDescent="0.3">
      <c r="B102" t="s">
        <v>37</v>
      </c>
      <c r="C102" t="str">
        <f>"("&amp;TEXT(G29,"#.##0")&amp;")*("&amp;TEXT($C$93,"0%")&amp;") + ("&amp;TEXT(H29,"#.##0")&amp;")*("&amp;TEXT($C$94,"0%")&amp;")"</f>
        <v>(-250.0)*(P) + (500.0)*(1-P)</v>
      </c>
      <c r="G102" s="51" t="s">
        <v>50</v>
      </c>
      <c r="H102" s="51"/>
      <c r="I102" s="6"/>
      <c r="M102" s="15"/>
    </row>
    <row r="103" spans="2:13" x14ac:dyDescent="0.3">
      <c r="C103" t="s">
        <v>44</v>
      </c>
      <c r="D103">
        <f>$G$29*E93 + (1-E93)*$H$29</f>
        <v>500</v>
      </c>
      <c r="G103" s="21"/>
      <c r="H103" s="27"/>
      <c r="I103" s="6"/>
      <c r="J103" s="6"/>
      <c r="K103" s="6"/>
      <c r="M103" s="15"/>
    </row>
    <row r="104" spans="2:13" x14ac:dyDescent="0.3">
      <c r="C104" t="s">
        <v>45</v>
      </c>
      <c r="D104">
        <f>$G$29*E94 + (1-E94)*$H$29</f>
        <v>-250</v>
      </c>
      <c r="G104" s="39" t="s">
        <v>48</v>
      </c>
      <c r="H104" s="26">
        <f>(H30-H29)/(G29-H29+H30-G30)</f>
        <v>0.4</v>
      </c>
      <c r="I104" s="6"/>
      <c r="J104" s="6"/>
      <c r="K104" s="6"/>
      <c r="M104" s="15"/>
    </row>
    <row r="105" spans="2:13" x14ac:dyDescent="0.3">
      <c r="G105" s="6"/>
      <c r="H105" s="6"/>
      <c r="I105" s="6"/>
      <c r="J105" s="6"/>
      <c r="K105" s="6"/>
    </row>
    <row r="106" spans="2:13" x14ac:dyDescent="0.3">
      <c r="B106" s="37" t="s">
        <v>115</v>
      </c>
    </row>
    <row r="107" spans="2:13" x14ac:dyDescent="0.3">
      <c r="B107" t="s">
        <v>38</v>
      </c>
      <c r="C107" t="str">
        <f>"("&amp;TEXT(G30,"#.##0")&amp;")*("&amp;TEXT($C$93,"0%")&amp;") + ("&amp;TEXT(H30,"#.##0")&amp;")*("&amp;TEXT($C$94,"0%")&amp;")"</f>
        <v>(-700.0)*(P) + (800.0)*(1-P)</v>
      </c>
    </row>
    <row r="108" spans="2:13" x14ac:dyDescent="0.3">
      <c r="C108" t="s">
        <v>44</v>
      </c>
      <c r="D108">
        <f>$G$30*E93 + (1-E93)*$H$30</f>
        <v>800</v>
      </c>
    </row>
    <row r="109" spans="2:13" x14ac:dyDescent="0.3">
      <c r="C109" t="s">
        <v>45</v>
      </c>
      <c r="D109">
        <f>$G$30*E94 + (1-E94)*$H$30</f>
        <v>-700</v>
      </c>
    </row>
    <row r="110" spans="2:13" x14ac:dyDescent="0.3">
      <c r="G110" s="41">
        <v>30</v>
      </c>
    </row>
    <row r="113" spans="2:10" x14ac:dyDescent="0.3">
      <c r="B113" s="9" t="s">
        <v>51</v>
      </c>
    </row>
    <row r="115" spans="2:10" x14ac:dyDescent="0.3">
      <c r="B115" t="s">
        <v>52</v>
      </c>
    </row>
    <row r="117" spans="2:10" x14ac:dyDescent="0.3">
      <c r="B117" s="11" t="s">
        <v>1</v>
      </c>
      <c r="C117" s="11" t="s">
        <v>2</v>
      </c>
    </row>
    <row r="118" spans="2:10" x14ac:dyDescent="0.3">
      <c r="B118" s="6">
        <f>MAX(G28:G30)</f>
        <v>200</v>
      </c>
      <c r="C118" s="6">
        <f>MAX(H28:H30)</f>
        <v>800</v>
      </c>
      <c r="E118" s="9" t="s">
        <v>54</v>
      </c>
    </row>
    <row r="119" spans="2:10" ht="15" thickBot="1" x14ac:dyDescent="0.35">
      <c r="B119" s="6"/>
      <c r="C119" s="6"/>
    </row>
    <row r="120" spans="2:10" ht="15" thickBot="1" x14ac:dyDescent="0.35">
      <c r="B120" s="11" t="s">
        <v>53</v>
      </c>
      <c r="C120" s="28">
        <f>C31*B118 + C32*C118</f>
        <v>620</v>
      </c>
      <c r="E120" s="9" t="s">
        <v>121</v>
      </c>
      <c r="F120" s="17">
        <f>C120-L68</f>
        <v>270</v>
      </c>
      <c r="G120" s="4" t="s">
        <v>97</v>
      </c>
    </row>
    <row r="121" spans="2:10" x14ac:dyDescent="0.3">
      <c r="G121" t="s">
        <v>109</v>
      </c>
    </row>
    <row r="123" spans="2:10" x14ac:dyDescent="0.3">
      <c r="B123" s="9" t="s">
        <v>78</v>
      </c>
    </row>
    <row r="125" spans="2:10" ht="15" thickBot="1" x14ac:dyDescent="0.35">
      <c r="B125">
        <f>E51</f>
        <v>0</v>
      </c>
      <c r="C125">
        <f t="shared" ref="C125" si="0">F51</f>
        <v>600</v>
      </c>
      <c r="E125" t="s">
        <v>55</v>
      </c>
      <c r="F125" s="16">
        <f>$C$31*B125+$C$32*C125</f>
        <v>420</v>
      </c>
    </row>
    <row r="126" spans="2:10" ht="15" thickBot="1" x14ac:dyDescent="0.35">
      <c r="B126">
        <f t="shared" ref="B126:B127" si="1">E52</f>
        <v>450</v>
      </c>
      <c r="C126">
        <f t="shared" ref="C126:C127" si="2">F52</f>
        <v>300</v>
      </c>
      <c r="E126" t="s">
        <v>55</v>
      </c>
      <c r="F126" s="16">
        <f>$C$31*B126+$C$32*C126</f>
        <v>345</v>
      </c>
      <c r="H126" s="9" t="s">
        <v>96</v>
      </c>
      <c r="I126" s="17">
        <f>MIN(F125:F127)</f>
        <v>270</v>
      </c>
      <c r="J126" s="4" t="s">
        <v>122</v>
      </c>
    </row>
    <row r="127" spans="2:10" x14ac:dyDescent="0.3">
      <c r="B127">
        <f t="shared" si="1"/>
        <v>900</v>
      </c>
      <c r="C127">
        <f t="shared" si="2"/>
        <v>0</v>
      </c>
      <c r="E127" t="s">
        <v>55</v>
      </c>
      <c r="F127" s="16">
        <f>$C$31*B127+$C$32*C127</f>
        <v>270</v>
      </c>
      <c r="J127" s="25" t="s">
        <v>108</v>
      </c>
    </row>
    <row r="128" spans="2:10" x14ac:dyDescent="0.3">
      <c r="J128" s="25" t="s">
        <v>110</v>
      </c>
    </row>
    <row r="130" spans="2:15" x14ac:dyDescent="0.3">
      <c r="B130" s="49" t="s">
        <v>87</v>
      </c>
      <c r="C130" s="49"/>
      <c r="D130" s="49"/>
      <c r="E130" s="49"/>
      <c r="F130" s="49"/>
      <c r="G130" s="49"/>
    </row>
    <row r="132" spans="2:15" ht="14.55" customHeight="1" x14ac:dyDescent="0.3">
      <c r="B132" s="9" t="s">
        <v>56</v>
      </c>
      <c r="C132" s="1">
        <v>0.2</v>
      </c>
      <c r="E132" s="9" t="s">
        <v>58</v>
      </c>
      <c r="F132" s="1">
        <v>0.8</v>
      </c>
      <c r="I132" s="44" t="s">
        <v>112</v>
      </c>
      <c r="J132" s="44"/>
      <c r="K132" s="44"/>
      <c r="L132" s="44"/>
      <c r="M132" s="44"/>
      <c r="N132" s="44"/>
      <c r="O132" s="44"/>
    </row>
    <row r="133" spans="2:15" x14ac:dyDescent="0.3">
      <c r="B133" s="9"/>
      <c r="E133" s="9"/>
      <c r="I133" s="44"/>
      <c r="J133" s="44"/>
      <c r="K133" s="44"/>
      <c r="L133" s="44"/>
      <c r="M133" s="44"/>
      <c r="N133" s="44"/>
      <c r="O133" s="44"/>
    </row>
    <row r="134" spans="2:15" x14ac:dyDescent="0.3">
      <c r="B134" s="9" t="s">
        <v>57</v>
      </c>
      <c r="C134" s="1">
        <f>1-C132</f>
        <v>0.8</v>
      </c>
      <c r="E134" s="9" t="s">
        <v>59</v>
      </c>
      <c r="F134" s="1">
        <f>1-F132</f>
        <v>0.19999999999999996</v>
      </c>
      <c r="I134" s="44"/>
      <c r="J134" s="44"/>
      <c r="K134" s="44"/>
      <c r="L134" s="44"/>
      <c r="M134" s="44"/>
      <c r="N134" s="44"/>
      <c r="O134" s="44"/>
    </row>
    <row r="135" spans="2:15" x14ac:dyDescent="0.3">
      <c r="I135" s="44"/>
      <c r="J135" s="44"/>
      <c r="K135" s="44"/>
      <c r="L135" s="44"/>
      <c r="M135" s="44"/>
      <c r="N135" s="44"/>
      <c r="O135" s="44"/>
    </row>
    <row r="137" spans="2:15" x14ac:dyDescent="0.3">
      <c r="B137" s="9" t="s">
        <v>60</v>
      </c>
      <c r="C137" s="9"/>
      <c r="D137" s="1">
        <f>$C$31*C132+$C$32*F132</f>
        <v>0.61999999999999988</v>
      </c>
    </row>
    <row r="138" spans="2:15" x14ac:dyDescent="0.3">
      <c r="B138" s="9"/>
      <c r="C138" s="9"/>
    </row>
    <row r="139" spans="2:15" x14ac:dyDescent="0.3">
      <c r="B139" s="9" t="s">
        <v>61</v>
      </c>
      <c r="C139" s="9"/>
      <c r="D139" s="1">
        <f>$C$31*C134+$C$32*F134</f>
        <v>0.37999999999999995</v>
      </c>
    </row>
    <row r="142" spans="2:15" x14ac:dyDescent="0.3">
      <c r="B142" s="9" t="s">
        <v>62</v>
      </c>
    </row>
    <row r="143" spans="2:15" x14ac:dyDescent="0.3">
      <c r="E143" s="9" t="s">
        <v>111</v>
      </c>
    </row>
    <row r="144" spans="2:15" x14ac:dyDescent="0.3">
      <c r="B144" s="9" t="s">
        <v>63</v>
      </c>
      <c r="C144" s="18">
        <f>C31*C132/D137</f>
        <v>9.6774193548387108E-2</v>
      </c>
      <c r="E144" t="s">
        <v>79</v>
      </c>
    </row>
    <row r="145" spans="2:13" x14ac:dyDescent="0.3">
      <c r="B145" s="9"/>
    </row>
    <row r="146" spans="2:13" x14ac:dyDescent="0.3">
      <c r="B146" s="9" t="s">
        <v>64</v>
      </c>
      <c r="C146" s="18">
        <f>F132*C32/D137</f>
        <v>0.90322580645161299</v>
      </c>
      <c r="E146" t="s">
        <v>80</v>
      </c>
    </row>
    <row r="147" spans="2:13" x14ac:dyDescent="0.3">
      <c r="B147" s="9"/>
      <c r="C147" s="18"/>
      <c r="E147" s="9" t="s">
        <v>81</v>
      </c>
    </row>
    <row r="148" spans="2:13" x14ac:dyDescent="0.3">
      <c r="B148" s="9" t="s">
        <v>65</v>
      </c>
      <c r="C148" s="18">
        <f>C31*C134/D139</f>
        <v>0.63157894736842113</v>
      </c>
      <c r="E148" t="s">
        <v>79</v>
      </c>
    </row>
    <row r="149" spans="2:13" x14ac:dyDescent="0.3">
      <c r="B149" s="9"/>
      <c r="C149" s="18"/>
    </row>
    <row r="150" spans="2:13" x14ac:dyDescent="0.3">
      <c r="B150" s="9" t="s">
        <v>82</v>
      </c>
      <c r="C150" s="18">
        <f>C32*F134/D139</f>
        <v>0.36842105263157887</v>
      </c>
      <c r="E150" t="s">
        <v>80</v>
      </c>
    </row>
    <row r="153" spans="2:13" x14ac:dyDescent="0.3">
      <c r="C153" s="9" t="s">
        <v>66</v>
      </c>
    </row>
    <row r="155" spans="2:13" x14ac:dyDescent="0.3">
      <c r="E155" t="s">
        <v>27</v>
      </c>
      <c r="F155" s="5">
        <f>$G$28</f>
        <v>200</v>
      </c>
    </row>
    <row r="156" spans="2:13" x14ac:dyDescent="0.3">
      <c r="D156" t="s">
        <v>3</v>
      </c>
      <c r="G156" s="10" t="s">
        <v>31</v>
      </c>
      <c r="H156" s="13">
        <f>$C$148*F155+$C$150*F157</f>
        <v>200</v>
      </c>
    </row>
    <row r="157" spans="2:13" x14ac:dyDescent="0.3">
      <c r="E157" t="s">
        <v>28</v>
      </c>
      <c r="F157" s="5">
        <f>$H$28</f>
        <v>200</v>
      </c>
      <c r="H157" s="13"/>
    </row>
    <row r="158" spans="2:13" x14ac:dyDescent="0.3">
      <c r="H158" s="13"/>
    </row>
    <row r="159" spans="2:13" ht="15" thickBot="1" x14ac:dyDescent="0.35">
      <c r="E159" t="s">
        <v>27</v>
      </c>
      <c r="F159" s="5">
        <f>$G$29</f>
        <v>-250</v>
      </c>
      <c r="H159" s="13"/>
    </row>
    <row r="160" spans="2:13" ht="15" thickBot="1" x14ac:dyDescent="0.35">
      <c r="B160" s="47" t="s">
        <v>68</v>
      </c>
      <c r="C160" s="47"/>
      <c r="D160" t="s">
        <v>4</v>
      </c>
      <c r="G160" s="10" t="s">
        <v>32</v>
      </c>
      <c r="H160" s="13">
        <f>$C$148*F159+$C$150*F161</f>
        <v>26.315789473684134</v>
      </c>
      <c r="J160" s="55" t="s">
        <v>70</v>
      </c>
      <c r="K160" s="55"/>
      <c r="L160" s="19">
        <f>MAX(H156:H167)</f>
        <v>200</v>
      </c>
      <c r="M160" s="11" t="str">
        <f>_xlfn.XLOOKUP(L160,H156:H164,D156:D164)</f>
        <v>d1</v>
      </c>
    </row>
    <row r="161" spans="2:14" x14ac:dyDescent="0.3">
      <c r="E161" t="s">
        <v>28</v>
      </c>
      <c r="F161" s="5">
        <f>$H$29</f>
        <v>500</v>
      </c>
      <c r="H161" s="13"/>
      <c r="J161" s="55"/>
      <c r="K161" s="55"/>
    </row>
    <row r="162" spans="2:14" x14ac:dyDescent="0.3">
      <c r="H162" s="13"/>
      <c r="M162" s="55" t="s">
        <v>86</v>
      </c>
      <c r="N162" s="55"/>
    </row>
    <row r="163" spans="2:14" x14ac:dyDescent="0.3">
      <c r="E163" t="s">
        <v>27</v>
      </c>
      <c r="F163" s="5">
        <f>$G$30</f>
        <v>-700</v>
      </c>
      <c r="H163" s="13"/>
      <c r="M163" s="55"/>
      <c r="N163" s="55"/>
    </row>
    <row r="164" spans="2:14" x14ac:dyDescent="0.3">
      <c r="D164" t="s">
        <v>5</v>
      </c>
      <c r="G164" s="10" t="s">
        <v>33</v>
      </c>
      <c r="H164" s="13">
        <f>$C$148*F163+$C$150*F165</f>
        <v>-147.36842105263167</v>
      </c>
      <c r="M164" s="55"/>
      <c r="N164" s="55"/>
    </row>
    <row r="165" spans="2:14" x14ac:dyDescent="0.3">
      <c r="E165" t="s">
        <v>28</v>
      </c>
      <c r="F165" s="5">
        <f>$H$30</f>
        <v>800</v>
      </c>
      <c r="H165" s="13"/>
    </row>
    <row r="166" spans="2:14" x14ac:dyDescent="0.3">
      <c r="H166" s="13"/>
    </row>
    <row r="167" spans="2:14" x14ac:dyDescent="0.3">
      <c r="E167" t="s">
        <v>27</v>
      </c>
      <c r="F167" s="5">
        <f>$G$28</f>
        <v>200</v>
      </c>
      <c r="H167" s="13"/>
    </row>
    <row r="168" spans="2:14" ht="15" thickBot="1" x14ac:dyDescent="0.35">
      <c r="D168" t="s">
        <v>3</v>
      </c>
      <c r="G168" s="10" t="s">
        <v>31</v>
      </c>
      <c r="H168" s="13">
        <f>$C$31*F167+$C$32*F169</f>
        <v>200</v>
      </c>
    </row>
    <row r="169" spans="2:14" ht="15" thickBot="1" x14ac:dyDescent="0.35">
      <c r="E169" t="s">
        <v>28</v>
      </c>
      <c r="F169" s="5">
        <f>$H$28</f>
        <v>200</v>
      </c>
      <c r="H169" s="13"/>
      <c r="J169" t="s">
        <v>34</v>
      </c>
      <c r="L169" s="12">
        <f>MAX(H168:H176)</f>
        <v>350</v>
      </c>
      <c r="M169" s="11" t="str">
        <f>_xlfn.XLOOKUP(L169,H168:H176,D168:D176)</f>
        <v>d3</v>
      </c>
    </row>
    <row r="170" spans="2:14" x14ac:dyDescent="0.3">
      <c r="H170" s="13"/>
    </row>
    <row r="171" spans="2:14" x14ac:dyDescent="0.3">
      <c r="E171" t="s">
        <v>27</v>
      </c>
      <c r="F171" s="5">
        <f>$G$29</f>
        <v>-250</v>
      </c>
      <c r="H171" s="13"/>
    </row>
    <row r="172" spans="2:14" x14ac:dyDescent="0.3">
      <c r="B172" s="47" t="s">
        <v>29</v>
      </c>
      <c r="C172" s="47"/>
      <c r="D172" t="s">
        <v>4</v>
      </c>
      <c r="G172" s="10" t="s">
        <v>32</v>
      </c>
      <c r="H172" s="13">
        <f>$C$31*F171+$C$32*F173</f>
        <v>275</v>
      </c>
    </row>
    <row r="173" spans="2:14" x14ac:dyDescent="0.3">
      <c r="E173" t="s">
        <v>28</v>
      </c>
      <c r="F173" s="5">
        <f>$H$29</f>
        <v>500</v>
      </c>
      <c r="H173" s="13"/>
    </row>
    <row r="174" spans="2:14" x14ac:dyDescent="0.3">
      <c r="H174" s="13"/>
    </row>
    <row r="175" spans="2:14" x14ac:dyDescent="0.3">
      <c r="E175" t="s">
        <v>27</v>
      </c>
      <c r="F175" s="5">
        <f>$G$30</f>
        <v>-700</v>
      </c>
      <c r="H175" s="13"/>
    </row>
    <row r="176" spans="2:14" x14ac:dyDescent="0.3">
      <c r="D176" t="s">
        <v>5</v>
      </c>
      <c r="G176" s="10" t="s">
        <v>33</v>
      </c>
      <c r="H176" s="13">
        <f>$C$31*F175+$C$32*F177</f>
        <v>350</v>
      </c>
    </row>
    <row r="177" spans="2:13" x14ac:dyDescent="0.3">
      <c r="E177" t="s">
        <v>28</v>
      </c>
      <c r="F177" s="5">
        <f>$H$30</f>
        <v>800</v>
      </c>
      <c r="H177" s="13"/>
    </row>
    <row r="178" spans="2:13" x14ac:dyDescent="0.3">
      <c r="H178" s="13"/>
    </row>
    <row r="179" spans="2:13" x14ac:dyDescent="0.3">
      <c r="E179" t="s">
        <v>27</v>
      </c>
      <c r="F179" s="5">
        <f>$G$28</f>
        <v>200</v>
      </c>
      <c r="H179" s="13"/>
    </row>
    <row r="180" spans="2:13" x14ac:dyDescent="0.3">
      <c r="D180" t="s">
        <v>3</v>
      </c>
      <c r="G180" s="10" t="s">
        <v>31</v>
      </c>
      <c r="H180" s="13">
        <f>$C$144*F179+$C$146*F181</f>
        <v>200</v>
      </c>
    </row>
    <row r="181" spans="2:13" x14ac:dyDescent="0.3">
      <c r="E181" t="s">
        <v>28</v>
      </c>
      <c r="F181" s="5">
        <f>$H$28</f>
        <v>200</v>
      </c>
      <c r="H181" s="13"/>
    </row>
    <row r="182" spans="2:13" x14ac:dyDescent="0.3">
      <c r="H182" s="13"/>
    </row>
    <row r="183" spans="2:13" ht="15" thickBot="1" x14ac:dyDescent="0.35">
      <c r="E183" t="s">
        <v>27</v>
      </c>
      <c r="F183" s="5">
        <f>$G$29</f>
        <v>-250</v>
      </c>
      <c r="H183" s="13"/>
    </row>
    <row r="184" spans="2:13" ht="15" thickBot="1" x14ac:dyDescent="0.35">
      <c r="B184" s="47" t="s">
        <v>67</v>
      </c>
      <c r="C184" s="47"/>
      <c r="D184" t="s">
        <v>4</v>
      </c>
      <c r="G184" s="10" t="s">
        <v>32</v>
      </c>
      <c r="H184" s="13">
        <f>$C$144*F183+$C$146*F185</f>
        <v>427.41935483870975</v>
      </c>
      <c r="J184" s="55" t="s">
        <v>71</v>
      </c>
      <c r="K184" s="55"/>
      <c r="L184" s="19">
        <f>MAX(H183:H191)</f>
        <v>654.83870967741939</v>
      </c>
      <c r="M184" s="11" t="str">
        <f>_xlfn.XLOOKUP(L184,H180:H188,D180:D188)</f>
        <v>d3</v>
      </c>
    </row>
    <row r="185" spans="2:13" x14ac:dyDescent="0.3">
      <c r="E185" t="s">
        <v>28</v>
      </c>
      <c r="F185" s="5">
        <f>$H$29</f>
        <v>500</v>
      </c>
      <c r="H185" s="13"/>
      <c r="J185" s="55"/>
      <c r="K185" s="55"/>
    </row>
    <row r="186" spans="2:13" ht="14.55" customHeight="1" x14ac:dyDescent="0.3">
      <c r="H186" s="13"/>
      <c r="L186" s="55" t="s">
        <v>85</v>
      </c>
      <c r="M186" s="55"/>
    </row>
    <row r="187" spans="2:13" x14ac:dyDescent="0.3">
      <c r="E187" t="s">
        <v>27</v>
      </c>
      <c r="F187" s="5">
        <f>$G$30</f>
        <v>-700</v>
      </c>
      <c r="H187" s="13"/>
      <c r="L187" s="55"/>
      <c r="M187" s="55"/>
    </row>
    <row r="188" spans="2:13" x14ac:dyDescent="0.3">
      <c r="D188" t="s">
        <v>5</v>
      </c>
      <c r="G188" s="10" t="s">
        <v>33</v>
      </c>
      <c r="H188" s="13">
        <f>$C$144*F187+$C$146*F189</f>
        <v>654.83870967741939</v>
      </c>
      <c r="L188" s="55"/>
      <c r="M188" s="55"/>
    </row>
    <row r="189" spans="2:13" x14ac:dyDescent="0.3">
      <c r="E189" t="s">
        <v>28</v>
      </c>
      <c r="F189" s="5">
        <f>$H$30</f>
        <v>800</v>
      </c>
    </row>
    <row r="193" spans="2:14" x14ac:dyDescent="0.3">
      <c r="B193" s="9" t="s">
        <v>128</v>
      </c>
    </row>
    <row r="195" spans="2:14" x14ac:dyDescent="0.3">
      <c r="B195" s="22" t="s">
        <v>69</v>
      </c>
      <c r="C195">
        <f>D137*L184+D139*L160</f>
        <v>481.99999999999994</v>
      </c>
      <c r="D195" s="38" t="s">
        <v>123</v>
      </c>
      <c r="E195" s="9"/>
      <c r="H195" s="40" t="s">
        <v>129</v>
      </c>
    </row>
    <row r="197" spans="2:14" ht="14.55" customHeight="1" x14ac:dyDescent="0.3">
      <c r="B197" s="22" t="s">
        <v>72</v>
      </c>
      <c r="C197">
        <f>C195-L169</f>
        <v>131.99999999999994</v>
      </c>
      <c r="D197" s="58" t="s">
        <v>83</v>
      </c>
      <c r="E197" s="58"/>
      <c r="F197" s="58"/>
      <c r="G197" s="58"/>
      <c r="H197" s="58"/>
      <c r="I197" s="58"/>
      <c r="K197" s="54" t="s">
        <v>113</v>
      </c>
      <c r="L197" s="54"/>
      <c r="M197" s="54"/>
      <c r="N197" s="54"/>
    </row>
    <row r="198" spans="2:14" x14ac:dyDescent="0.3">
      <c r="D198" s="58"/>
      <c r="E198" s="58"/>
      <c r="F198" s="58"/>
      <c r="G198" s="58"/>
      <c r="H198" s="58"/>
      <c r="I198" s="58"/>
      <c r="K198" s="54"/>
      <c r="L198" s="54"/>
      <c r="M198" s="54"/>
      <c r="N198" s="54"/>
    </row>
    <row r="200" spans="2:14" x14ac:dyDescent="0.3">
      <c r="B200" s="9" t="s">
        <v>73</v>
      </c>
    </row>
    <row r="201" spans="2:14" ht="15" thickBot="1" x14ac:dyDescent="0.35"/>
    <row r="202" spans="2:14" x14ac:dyDescent="0.3">
      <c r="B202" s="20" t="s">
        <v>75</v>
      </c>
      <c r="C202" s="56">
        <f>C197/I126</f>
        <v>0.48888888888888865</v>
      </c>
    </row>
    <row r="203" spans="2:14" ht="15" thickBot="1" x14ac:dyDescent="0.35">
      <c r="B203" s="6" t="s">
        <v>74</v>
      </c>
      <c r="C203" s="57"/>
    </row>
    <row r="205" spans="2:14" ht="14.55" customHeight="1" x14ac:dyDescent="0.3">
      <c r="B205" s="48" t="s">
        <v>84</v>
      </c>
      <c r="C205" s="48"/>
      <c r="D205" s="48"/>
      <c r="E205" s="48"/>
      <c r="F205" s="48"/>
      <c r="G205" s="48"/>
    </row>
    <row r="206" spans="2:14" x14ac:dyDescent="0.3">
      <c r="B206" s="48"/>
      <c r="C206" s="48"/>
      <c r="D206" s="48"/>
      <c r="E206" s="48"/>
      <c r="F206" s="48"/>
      <c r="G206" s="48"/>
    </row>
    <row r="207" spans="2:14" x14ac:dyDescent="0.3">
      <c r="B207" s="48"/>
      <c r="C207" s="48"/>
      <c r="D207" s="48"/>
      <c r="E207" s="48"/>
      <c r="F207" s="48"/>
      <c r="G207" s="48"/>
    </row>
  </sheetData>
  <mergeCells count="41">
    <mergeCell ref="F84:M90"/>
    <mergeCell ref="O84:S90"/>
    <mergeCell ref="O52:S53"/>
    <mergeCell ref="N68:S70"/>
    <mergeCell ref="K197:N198"/>
    <mergeCell ref="B79:C79"/>
    <mergeCell ref="J52:K52"/>
    <mergeCell ref="B64:G64"/>
    <mergeCell ref="B71:C71"/>
    <mergeCell ref="G65:I65"/>
    <mergeCell ref="H42:L43"/>
    <mergeCell ref="H47:L48"/>
    <mergeCell ref="B205:G207"/>
    <mergeCell ref="L186:M188"/>
    <mergeCell ref="M162:N164"/>
    <mergeCell ref="J160:K161"/>
    <mergeCell ref="J184:K185"/>
    <mergeCell ref="C202:C203"/>
    <mergeCell ref="D197:I198"/>
    <mergeCell ref="B160:C160"/>
    <mergeCell ref="B172:C172"/>
    <mergeCell ref="B184:C184"/>
    <mergeCell ref="B2:G2"/>
    <mergeCell ref="B4:H4"/>
    <mergeCell ref="B5:H5"/>
    <mergeCell ref="B6:H7"/>
    <mergeCell ref="B9:H9"/>
    <mergeCell ref="B21:H21"/>
    <mergeCell ref="B37:H37"/>
    <mergeCell ref="I132:O135"/>
    <mergeCell ref="B10:H10"/>
    <mergeCell ref="B12:H14"/>
    <mergeCell ref="B16:H18"/>
    <mergeCell ref="F25:H25"/>
    <mergeCell ref="J70:M72"/>
    <mergeCell ref="F81:G82"/>
    <mergeCell ref="B130:G130"/>
    <mergeCell ref="G94:H94"/>
    <mergeCell ref="G98:H98"/>
    <mergeCell ref="G102:H102"/>
    <mergeCell ref="G52:H5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6" r:id="rId3" name="Scroll Bar 2">
              <controlPr defaultSize="0" autoPict="0">
                <anchor moveWithCells="1">
                  <from>
                    <xdr:col>8</xdr:col>
                    <xdr:colOff>434340</xdr:colOff>
                    <xdr:row>100</xdr:row>
                    <xdr:rowOff>30480</xdr:rowOff>
                  </from>
                  <to>
                    <xdr:col>8</xdr:col>
                    <xdr:colOff>670560</xdr:colOff>
                    <xdr:row>111</xdr:row>
                    <xdr:rowOff>30480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SIERRA LONDONO</dc:creator>
  <cp:lastModifiedBy>STIVEN HERRERA BARRERA</cp:lastModifiedBy>
  <dcterms:created xsi:type="dcterms:W3CDTF">2026-09-01T12:52:36Z</dcterms:created>
  <dcterms:modified xsi:type="dcterms:W3CDTF">2026-09-17T17:37:31Z</dcterms:modified>
</cp:coreProperties>
</file>